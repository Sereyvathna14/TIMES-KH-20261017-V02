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rey\Downloads\Cambodia-TIMES-Model-main\Cambodia-TIMES-Model-main\SuppXLS\Demands\"/>
    </mc:Choice>
  </mc:AlternateContent>
  <xr:revisionPtr revIDLastSave="0" documentId="13_ncr:1_{8F321D7D-32B3-4AB5-AB19-BF037E47D88F}" xr6:coauthVersionLast="47" xr6:coauthVersionMax="47" xr10:uidLastSave="{00000000-0000-0000-0000-000000000000}"/>
  <bookViews>
    <workbookView xWindow="28680" yWindow="-120" windowWidth="20730" windowHeight="11040" xr2:uid="{00000000-000D-0000-FFFF-FFFF00000000}"/>
  </bookViews>
  <sheets>
    <sheet name="Driv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E10" i="1"/>
  <c r="E7" i="1"/>
  <c r="F7" i="1" s="1"/>
  <c r="G7" i="1" s="1"/>
  <c r="H7" i="1" s="1"/>
  <c r="I7" i="1" s="1"/>
  <c r="J7" i="1" s="1"/>
  <c r="K7" i="1" s="1"/>
  <c r="L7" i="1" s="1"/>
  <c r="M7" i="1" s="1"/>
  <c r="N7" i="1" s="1"/>
  <c r="O7" i="1" s="1"/>
  <c r="P7" i="1" s="1"/>
  <c r="Q7" i="1" s="1"/>
  <c r="R7" i="1" s="1"/>
  <c r="S7" i="1" s="1"/>
  <c r="T7" i="1" s="1"/>
  <c r="U7" i="1" s="1"/>
  <c r="V7" i="1" s="1"/>
  <c r="W7" i="1" s="1"/>
  <c r="X7" i="1" s="1"/>
  <c r="E8" i="1"/>
  <c r="F8" i="1" s="1"/>
  <c r="G8" i="1" s="1"/>
  <c r="H8" i="1" s="1"/>
  <c r="I8" i="1" s="1"/>
  <c r="J8" i="1" s="1"/>
  <c r="K8" i="1" s="1"/>
  <c r="L8" i="1" s="1"/>
  <c r="M8" i="1" s="1"/>
  <c r="N8" i="1" s="1"/>
  <c r="O8" i="1" s="1"/>
  <c r="P8" i="1" s="1"/>
  <c r="Q8" i="1" s="1"/>
  <c r="R8" i="1" s="1"/>
  <c r="S8" i="1" s="1"/>
  <c r="T8" i="1" s="1"/>
  <c r="U8" i="1" s="1"/>
  <c r="V8" i="1" s="1"/>
  <c r="W8" i="1" s="1"/>
  <c r="X8" i="1" s="1"/>
  <c r="Y8" i="1" s="1"/>
  <c r="Z8" i="1" s="1"/>
  <c r="AA8" i="1" s="1"/>
  <c r="AB8" i="1" s="1"/>
  <c r="AC8" i="1" s="1"/>
  <c r="AD8" i="1" s="1"/>
  <c r="AE8" i="1" s="1"/>
  <c r="AF8" i="1" s="1"/>
  <c r="AG8" i="1" s="1"/>
  <c r="Y7" i="1" l="1"/>
  <c r="Z7" i="1" s="1"/>
  <c r="AA7" i="1" s="1"/>
  <c r="AB7" i="1" s="1"/>
  <c r="AC7" i="1" s="1"/>
  <c r="AD7" i="1" s="1"/>
  <c r="AE7" i="1" s="1"/>
  <c r="AF7" i="1" s="1"/>
  <c r="AG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</authors>
  <commentList>
    <comment ref="C3" authorId="0" shapeId="0" xr:uid="{00000000-0006-0000-0000-000001000000}">
      <text>
        <r>
          <rPr>
            <sz val="8"/>
            <color indexed="81"/>
            <rFont val="Tahoma"/>
            <family val="2"/>
          </rPr>
          <t xml:space="preserve">Scenario with which these drivers, series and allocations are to be associated. </t>
        </r>
        <r>
          <rPr>
            <sz val="8"/>
            <color indexed="81"/>
            <rFont val="Tahoma"/>
            <family val="2"/>
          </rPr>
          <t>Normally</t>
        </r>
        <r>
          <rPr>
            <sz val="8"/>
            <color indexed="81"/>
            <rFont val="Tahoma"/>
            <family val="2"/>
          </rPr>
          <t xml:space="preserve"> a set provided for BASE.</t>
        </r>
      </text>
    </comment>
    <comment ref="C5" authorId="0" shapeId="0" xr:uid="{00000000-0006-0000-0000-000002000000}">
      <text>
        <r>
          <rPr>
            <sz val="8"/>
            <color indexed="81"/>
            <rFont val="Tahoma"/>
            <family val="2"/>
          </rPr>
          <t>Driver timeseries by region.</t>
        </r>
      </text>
    </comment>
  </commentList>
</comments>
</file>

<file path=xl/sharedStrings.xml><?xml version="1.0" encoding="utf-8"?>
<sst xmlns="http://schemas.openxmlformats.org/spreadsheetml/2006/main" count="46" uniqueCount="43">
  <si>
    <t>GDP</t>
  </si>
  <si>
    <t>~DRVR_Table</t>
  </si>
  <si>
    <t>Region</t>
  </si>
  <si>
    <t>Driver</t>
  </si>
  <si>
    <t>* declare the demand drives and initial allocations</t>
  </si>
  <si>
    <t>REG1</t>
  </si>
  <si>
    <t>GDPP</t>
  </si>
  <si>
    <t>\~2021</t>
  </si>
  <si>
    <t>\~2022</t>
  </si>
  <si>
    <t>\~2023</t>
  </si>
  <si>
    <t>\~2024</t>
  </si>
  <si>
    <t>\~2025</t>
  </si>
  <si>
    <t>\~2026</t>
  </si>
  <si>
    <t>\~2027</t>
  </si>
  <si>
    <t>\~2028</t>
  </si>
  <si>
    <t>\~2029</t>
  </si>
  <si>
    <t>\~2030</t>
  </si>
  <si>
    <t>\~2031</t>
  </si>
  <si>
    <t>\~2032</t>
  </si>
  <si>
    <t>\~2033</t>
  </si>
  <si>
    <t>\~2034</t>
  </si>
  <si>
    <t>\~2035</t>
  </si>
  <si>
    <t>\~2036</t>
  </si>
  <si>
    <t>\~2037</t>
  </si>
  <si>
    <t>\~2038</t>
  </si>
  <si>
    <t>\~2039</t>
  </si>
  <si>
    <t>\~2040</t>
  </si>
  <si>
    <t>\~2041</t>
  </si>
  <si>
    <t>\~2042</t>
  </si>
  <si>
    <t>\~2043</t>
  </si>
  <si>
    <t>\~2044</t>
  </si>
  <si>
    <t>\~2045</t>
  </si>
  <si>
    <t>\~2046</t>
  </si>
  <si>
    <t>\~2047</t>
  </si>
  <si>
    <t>\~2048</t>
  </si>
  <si>
    <t>\~2049</t>
  </si>
  <si>
    <t>\~2050</t>
  </si>
  <si>
    <t>POP</t>
  </si>
  <si>
    <t>INDD</t>
  </si>
  <si>
    <t>~DRVR_Scenario: : DEM_Ref</t>
  </si>
  <si>
    <t>pop growth</t>
  </si>
  <si>
    <t>gdp growth</t>
  </si>
  <si>
    <t>ind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</si>
</sst>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9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8"/>
      <color indexed="81"/>
      <name val="Tahoma"/>
      <family val="2"/>
    </font>
    <font>
      <sz val="12"/>
      <color indexed="53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2" fontId="0" fillId="0" borderId="0" xfId="0" applyNumberFormat="1"/>
    <xf numFmtId="0" fontId="3" fillId="0" borderId="0" xfId="0" quotePrefix="1" applyFont="1" applyAlignment="1">
      <alignment horizontal="left"/>
    </xf>
    <xf numFmtId="0" fontId="1" fillId="2" borderId="0" xfId="0" applyFont="1" applyFill="1"/>
    <xf numFmtId="0" fontId="5" fillId="0" borderId="0" xfId="0" applyFon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600075</xdr:colOff>
      <xdr:row>13</xdr:row>
      <xdr:rowOff>0</xdr:rowOff>
    </xdr:from>
    <xdr:to>
      <xdr:col>18</xdr:col>
      <xdr:colOff>289560</xdr:colOff>
      <xdr:row>20</xdr:row>
      <xdr:rowOff>57151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B5F1A50-DD2F-4608-9C30-644CF01239D9}"/>
            </a:ext>
          </a:extLst>
        </xdr:cNvPr>
        <xdr:cNvSpPr txBox="1"/>
      </xdr:nvSpPr>
      <xdr:spPr>
        <a:xfrm>
          <a:off x="843915" y="2705100"/>
          <a:ext cx="10395585" cy="1230631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dynamic of some drivers (such as Gross Domestic Product, Population, Sectoral Productivity  Agriculture, ..…) over the time horizon can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be defined in the ~DRVR_Table.</a:t>
          </a:r>
        </a:p>
        <a:p>
          <a:endParaRPr lang="en-GB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 is possible to build multiple files called ScenDem_&lt;file name1&gt;, ScenDem_&lt;file name2&gt; with different drivers to generate for example a reference demand projection, a low or high demand projection and so on.</a:t>
          </a:r>
        </a:p>
        <a:p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4"/>
  <sheetViews>
    <sheetView tabSelected="1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P12" sqref="P12"/>
    </sheetView>
  </sheetViews>
  <sheetFormatPr defaultRowHeight="12.75" x14ac:dyDescent="0.2"/>
  <cols>
    <col min="1" max="1" width="3.5703125" customWidth="1"/>
    <col min="3" max="3" width="13.85546875" customWidth="1"/>
  </cols>
  <sheetData>
    <row r="1" spans="1:33" ht="15" x14ac:dyDescent="0.2">
      <c r="A1" s="6" t="s">
        <v>4</v>
      </c>
    </row>
    <row r="3" spans="1:33" x14ac:dyDescent="0.2">
      <c r="B3" s="1"/>
      <c r="C3" s="4" t="s">
        <v>39</v>
      </c>
    </row>
    <row r="4" spans="1:33" x14ac:dyDescent="0.2">
      <c r="B4" s="1"/>
      <c r="C4" s="1"/>
    </row>
    <row r="5" spans="1:33" x14ac:dyDescent="0.2">
      <c r="B5" s="1"/>
      <c r="C5" s="5" t="s">
        <v>1</v>
      </c>
    </row>
    <row r="6" spans="1:33" x14ac:dyDescent="0.2">
      <c r="B6" s="1" t="s">
        <v>2</v>
      </c>
      <c r="C6" s="1" t="s">
        <v>3</v>
      </c>
      <c r="D6" s="2" t="s">
        <v>7</v>
      </c>
      <c r="E6" s="2" t="s">
        <v>8</v>
      </c>
      <c r="F6" s="2" t="s">
        <v>9</v>
      </c>
      <c r="G6" s="2" t="s">
        <v>10</v>
      </c>
      <c r="H6" s="2" t="s">
        <v>11</v>
      </c>
      <c r="I6" s="2" t="s">
        <v>12</v>
      </c>
      <c r="J6" s="2" t="s">
        <v>13</v>
      </c>
      <c r="K6" s="2" t="s">
        <v>14</v>
      </c>
      <c r="L6" s="2" t="s">
        <v>15</v>
      </c>
      <c r="M6" s="2" t="s">
        <v>16</v>
      </c>
      <c r="N6" s="2" t="s">
        <v>17</v>
      </c>
      <c r="O6" s="2" t="s">
        <v>18</v>
      </c>
      <c r="P6" s="2" t="s">
        <v>19</v>
      </c>
      <c r="Q6" s="2" t="s">
        <v>20</v>
      </c>
      <c r="R6" s="2" t="s">
        <v>21</v>
      </c>
      <c r="S6" s="2" t="s">
        <v>22</v>
      </c>
      <c r="T6" s="2" t="s">
        <v>23</v>
      </c>
      <c r="U6" s="2" t="s">
        <v>24</v>
      </c>
      <c r="V6" s="2" t="s">
        <v>25</v>
      </c>
      <c r="W6" s="2" t="s">
        <v>26</v>
      </c>
      <c r="X6" s="2" t="s">
        <v>27</v>
      </c>
      <c r="Y6" s="2" t="s">
        <v>28</v>
      </c>
      <c r="Z6" s="2" t="s">
        <v>29</v>
      </c>
      <c r="AA6" s="2" t="s">
        <v>30</v>
      </c>
      <c r="AB6" s="2" t="s">
        <v>31</v>
      </c>
      <c r="AC6" s="2" t="s">
        <v>32</v>
      </c>
      <c r="AD6" s="2" t="s">
        <v>33</v>
      </c>
      <c r="AE6" s="2" t="s">
        <v>34</v>
      </c>
      <c r="AF6" s="2" t="s">
        <v>35</v>
      </c>
      <c r="AG6" s="2" t="s">
        <v>36</v>
      </c>
    </row>
    <row r="7" spans="1:33" x14ac:dyDescent="0.2">
      <c r="B7" t="s">
        <v>5</v>
      </c>
      <c r="C7" t="s">
        <v>0</v>
      </c>
      <c r="D7" s="3">
        <v>1</v>
      </c>
      <c r="E7" s="3">
        <f>D7*(1+E22)</f>
        <v>1.0512990110773976</v>
      </c>
      <c r="F7" s="3">
        <f t="shared" ref="F7:AG7" si="0">E7*(1+F22)</f>
        <v>1.10394102645472</v>
      </c>
      <c r="G7" s="3">
        <f t="shared" si="0"/>
        <v>1.1703520716072517</v>
      </c>
      <c r="H7" s="3">
        <f t="shared" si="0"/>
        <v>1.2329579589421567</v>
      </c>
      <c r="I7" s="3">
        <f t="shared" si="0"/>
        <v>1.2699466977104215</v>
      </c>
      <c r="J7" s="3">
        <f t="shared" si="0"/>
        <v>1.3207445656188384</v>
      </c>
      <c r="K7" s="3">
        <f t="shared" si="0"/>
        <v>1.3828195602029236</v>
      </c>
      <c r="L7" s="3">
        <f t="shared" si="0"/>
        <v>1.4533433577732726</v>
      </c>
      <c r="M7" s="3">
        <f t="shared" si="0"/>
        <v>1.530370555735256</v>
      </c>
      <c r="N7" s="3">
        <f t="shared" si="0"/>
        <v>1.6145409363006951</v>
      </c>
      <c r="O7" s="3">
        <f t="shared" si="0"/>
        <v>1.6952679831157298</v>
      </c>
      <c r="P7" s="3">
        <f t="shared" si="0"/>
        <v>1.7800313822715164</v>
      </c>
      <c r="Q7" s="3">
        <f t="shared" si="0"/>
        <v>1.8690329513850923</v>
      </c>
      <c r="R7" s="3">
        <f t="shared" si="0"/>
        <v>1.9624845989543469</v>
      </c>
      <c r="S7" s="3">
        <f t="shared" si="0"/>
        <v>2.0606088289020645</v>
      </c>
      <c r="T7" s="3">
        <f t="shared" si="0"/>
        <v>2.1636392703471681</v>
      </c>
      <c r="U7" s="3">
        <f t="shared" si="0"/>
        <v>2.2718212338645265</v>
      </c>
      <c r="V7" s="3">
        <f t="shared" si="0"/>
        <v>2.385412295557753</v>
      </c>
      <c r="W7" s="3">
        <f t="shared" si="0"/>
        <v>2.5046829103356409</v>
      </c>
      <c r="X7" s="3">
        <f t="shared" si="0"/>
        <v>2.629917055852423</v>
      </c>
      <c r="Y7" s="3">
        <f>X7*(1+Y22)</f>
        <v>2.7614129086450441</v>
      </c>
      <c r="Z7" s="3">
        <f t="shared" si="0"/>
        <v>2.8994835540772965</v>
      </c>
      <c r="AA7" s="3">
        <f t="shared" si="0"/>
        <v>3.0444577317811614</v>
      </c>
      <c r="AB7" s="3">
        <f t="shared" si="0"/>
        <v>3.1966806183702197</v>
      </c>
      <c r="AC7" s="3">
        <f t="shared" si="0"/>
        <v>3.356514649288731</v>
      </c>
      <c r="AD7" s="3">
        <f t="shared" si="0"/>
        <v>3.5243403817531678</v>
      </c>
      <c r="AE7" s="3">
        <f t="shared" si="0"/>
        <v>3.7005574008408262</v>
      </c>
      <c r="AF7" s="3">
        <f t="shared" si="0"/>
        <v>3.8855852708828675</v>
      </c>
      <c r="AG7" s="3">
        <f t="shared" si="0"/>
        <v>4.0798645344270108</v>
      </c>
    </row>
    <row r="8" spans="1:33" x14ac:dyDescent="0.2">
      <c r="B8" t="s">
        <v>5</v>
      </c>
      <c r="C8" t="s">
        <v>37</v>
      </c>
      <c r="D8" s="3">
        <v>1</v>
      </c>
      <c r="E8" s="3">
        <f>D8*(1+E23)</f>
        <v>1.0133978386743965</v>
      </c>
      <c r="F8" s="3">
        <f t="shared" ref="F8:AG8" si="1">E8*(1+F23)</f>
        <v>1.0264856204716484</v>
      </c>
      <c r="G8" s="3">
        <f t="shared" si="1"/>
        <v>1.0391471697957593</v>
      </c>
      <c r="H8" s="3">
        <f t="shared" si="1"/>
        <v>1.0514705609449109</v>
      </c>
      <c r="I8" s="3">
        <f t="shared" si="1"/>
        <v>1.0651396782371947</v>
      </c>
      <c r="J8" s="3">
        <f t="shared" si="1"/>
        <v>1.0789864940542782</v>
      </c>
      <c r="K8" s="3">
        <f t="shared" si="1"/>
        <v>1.0930133184769837</v>
      </c>
      <c r="L8" s="3">
        <f t="shared" si="1"/>
        <v>1.1061294782987074</v>
      </c>
      <c r="M8" s="3">
        <f t="shared" si="1"/>
        <v>1.1194030320382919</v>
      </c>
      <c r="N8" s="3">
        <f t="shared" si="1"/>
        <v>1.1328358684227515</v>
      </c>
      <c r="O8" s="3">
        <f t="shared" si="1"/>
        <v>1.1452970629754016</v>
      </c>
      <c r="P8" s="3">
        <f t="shared" si="1"/>
        <v>1.1578953306681306</v>
      </c>
      <c r="Q8" s="3">
        <f t="shared" si="1"/>
        <v>1.1694742839748118</v>
      </c>
      <c r="R8" s="3">
        <f t="shared" si="1"/>
        <v>1.1811690268145598</v>
      </c>
      <c r="S8" s="3">
        <f t="shared" si="1"/>
        <v>1.1917995480558907</v>
      </c>
      <c r="T8" s="3">
        <f t="shared" si="1"/>
        <v>1.2025257439883936</v>
      </c>
      <c r="U8" s="3">
        <f t="shared" si="1"/>
        <v>1.2133484756842889</v>
      </c>
      <c r="V8" s="3">
        <f t="shared" si="1"/>
        <v>1.2230552634897633</v>
      </c>
      <c r="W8" s="3">
        <f t="shared" si="1"/>
        <v>1.2328397055976814</v>
      </c>
      <c r="X8" s="3">
        <f t="shared" si="1"/>
        <v>1.241469583536865</v>
      </c>
      <c r="Y8" s="3">
        <f t="shared" si="1"/>
        <v>1.2501598706216228</v>
      </c>
      <c r="Z8" s="3">
        <f t="shared" si="1"/>
        <v>1.2576608298453527</v>
      </c>
      <c r="AA8" s="3">
        <f t="shared" si="1"/>
        <v>1.2652067948244248</v>
      </c>
      <c r="AB8" s="3">
        <f t="shared" si="1"/>
        <v>1.2715328287985468</v>
      </c>
      <c r="AC8" s="3">
        <f t="shared" si="1"/>
        <v>1.2778904929425394</v>
      </c>
      <c r="AD8" s="3">
        <f t="shared" si="1"/>
        <v>1.284279945407252</v>
      </c>
      <c r="AE8" s="3">
        <f t="shared" si="1"/>
        <v>1.289417065188881</v>
      </c>
      <c r="AF8" s="3">
        <f t="shared" si="1"/>
        <v>1.2945747334496365</v>
      </c>
      <c r="AG8" s="3">
        <f t="shared" si="1"/>
        <v>1.2984584576499851</v>
      </c>
    </row>
    <row r="9" spans="1:33" x14ac:dyDescent="0.2">
      <c r="B9" s="1" t="s">
        <v>5</v>
      </c>
      <c r="C9" t="s">
        <v>6</v>
      </c>
      <c r="D9" s="3">
        <v>1</v>
      </c>
      <c r="E9" s="3">
        <v>1.0198019801980198</v>
      </c>
      <c r="F9" s="3">
        <v>1.0399960788158022</v>
      </c>
      <c r="G9" s="3">
        <v>1.0605900605745313</v>
      </c>
      <c r="H9" s="3">
        <v>1.0815918439522447</v>
      </c>
      <c r="I9" s="3">
        <v>1.1030095042285268</v>
      </c>
      <c r="J9" s="3">
        <v>1.1248512765894878</v>
      </c>
      <c r="K9" s="3">
        <v>1.1471255592942304</v>
      </c>
      <c r="L9" s="3">
        <v>1.1698409169040171</v>
      </c>
      <c r="M9" s="3">
        <v>1.1930060835753837</v>
      </c>
      <c r="N9" s="3">
        <v>1.2166299664184606</v>
      </c>
      <c r="O9" s="3">
        <v>1.2407216489217965</v>
      </c>
      <c r="P9" s="3">
        <v>1.2652903944450002</v>
      </c>
      <c r="Q9" s="3">
        <v>1.2903456497805448</v>
      </c>
      <c r="R9" s="3">
        <v>1.3158970487861001</v>
      </c>
      <c r="S9" s="3">
        <v>1.3419544160887953</v>
      </c>
      <c r="T9" s="3">
        <v>1.368527770862831</v>
      </c>
      <c r="U9" s="3">
        <v>1.3956273306818967</v>
      </c>
      <c r="V9" s="3">
        <v>1.423263515447875</v>
      </c>
      <c r="W9" s="3">
        <v>1.2</v>
      </c>
      <c r="X9" s="3">
        <v>1.4801884751873842</v>
      </c>
      <c r="Y9" s="3">
        <v>1.4875894175633209</v>
      </c>
      <c r="Z9" s="3">
        <v>1.4950273646511374</v>
      </c>
      <c r="AA9" s="3">
        <v>1.5025025014743929</v>
      </c>
      <c r="AB9" s="3">
        <v>1.5100150139817647</v>
      </c>
      <c r="AC9" s="3">
        <v>1.5175650890516734</v>
      </c>
      <c r="AD9" s="3">
        <v>1.5251529144969316</v>
      </c>
      <c r="AE9" s="3">
        <v>1.532778679069416</v>
      </c>
      <c r="AF9" s="3">
        <v>1.540442572464763</v>
      </c>
      <c r="AG9" s="3">
        <v>1.5481447853270867</v>
      </c>
    </row>
    <row r="10" spans="1:33" x14ac:dyDescent="0.2">
      <c r="B10" t="s">
        <v>5</v>
      </c>
      <c r="C10" t="s">
        <v>38</v>
      </c>
      <c r="D10" s="3">
        <v>1</v>
      </c>
      <c r="E10" s="3">
        <f>D10+5%</f>
        <v>1.05</v>
      </c>
      <c r="F10" s="3">
        <f t="shared" ref="F10:AG10" si="2">E10+5%</f>
        <v>1.1000000000000001</v>
      </c>
      <c r="G10" s="3">
        <f t="shared" si="2"/>
        <v>1.1500000000000001</v>
      </c>
      <c r="H10" s="3">
        <f t="shared" si="2"/>
        <v>1.2000000000000002</v>
      </c>
      <c r="I10" s="3">
        <f t="shared" si="2"/>
        <v>1.2500000000000002</v>
      </c>
      <c r="J10" s="3">
        <f t="shared" si="2"/>
        <v>1.3000000000000003</v>
      </c>
      <c r="K10" s="3">
        <f t="shared" si="2"/>
        <v>1.3500000000000003</v>
      </c>
      <c r="L10" s="3">
        <f t="shared" si="2"/>
        <v>1.4000000000000004</v>
      </c>
      <c r="M10" s="3">
        <f t="shared" si="2"/>
        <v>1.4500000000000004</v>
      </c>
      <c r="N10" s="3">
        <f t="shared" si="2"/>
        <v>1.5000000000000004</v>
      </c>
      <c r="O10" s="3">
        <f t="shared" si="2"/>
        <v>1.5500000000000005</v>
      </c>
      <c r="P10" s="3">
        <f t="shared" si="2"/>
        <v>1.6000000000000005</v>
      </c>
      <c r="Q10" s="3">
        <f t="shared" si="2"/>
        <v>1.6500000000000006</v>
      </c>
      <c r="R10" s="3">
        <f t="shared" si="2"/>
        <v>1.7000000000000006</v>
      </c>
      <c r="S10" s="3">
        <f t="shared" si="2"/>
        <v>1.7500000000000007</v>
      </c>
      <c r="T10" s="3">
        <f t="shared" si="2"/>
        <v>1.8000000000000007</v>
      </c>
      <c r="U10" s="3">
        <f t="shared" si="2"/>
        <v>1.8500000000000008</v>
      </c>
      <c r="V10" s="3">
        <f t="shared" si="2"/>
        <v>1.9000000000000008</v>
      </c>
      <c r="W10" s="3">
        <f t="shared" si="2"/>
        <v>1.9500000000000008</v>
      </c>
      <c r="X10" s="3">
        <f t="shared" si="2"/>
        <v>2.0000000000000009</v>
      </c>
      <c r="Y10" s="3">
        <f t="shared" si="2"/>
        <v>2.0500000000000007</v>
      </c>
      <c r="Z10" s="3">
        <f t="shared" si="2"/>
        <v>2.1000000000000005</v>
      </c>
      <c r="AA10" s="3">
        <f t="shared" si="2"/>
        <v>2.1500000000000004</v>
      </c>
      <c r="AB10" s="3">
        <f t="shared" si="2"/>
        <v>2.2000000000000002</v>
      </c>
      <c r="AC10" s="3">
        <f t="shared" si="2"/>
        <v>2.25</v>
      </c>
      <c r="AD10" s="3">
        <f t="shared" si="2"/>
        <v>2.2999999999999998</v>
      </c>
      <c r="AE10" s="3">
        <f t="shared" si="2"/>
        <v>2.3499999999999996</v>
      </c>
      <c r="AF10" s="3">
        <f t="shared" si="2"/>
        <v>2.3999999999999995</v>
      </c>
      <c r="AG10" s="3">
        <f t="shared" si="2"/>
        <v>2.4499999999999993</v>
      </c>
    </row>
    <row r="11" spans="1:33" x14ac:dyDescent="0.2"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 spans="1:33" x14ac:dyDescent="0.2">
      <c r="D12" s="3"/>
      <c r="E12" s="3"/>
      <c r="F12" s="3"/>
      <c r="G12" s="3"/>
      <c r="H12" s="3"/>
    </row>
    <row r="22" spans="3:33" x14ac:dyDescent="0.2">
      <c r="C22" s="2" t="s">
        <v>41</v>
      </c>
      <c r="D22">
        <v>0.05</v>
      </c>
      <c r="E22">
        <v>5.1299011077397663E-2</v>
      </c>
      <c r="F22">
        <v>5.0073304381189863E-2</v>
      </c>
      <c r="G22">
        <v>6.0158145735202055E-2</v>
      </c>
      <c r="H22">
        <v>5.3493208457287535E-2</v>
      </c>
      <c r="I22">
        <v>0.03</v>
      </c>
      <c r="J22">
        <v>0.04</v>
      </c>
      <c r="K22">
        <v>4.7E-2</v>
      </c>
      <c r="L22">
        <v>5.0999999999999997E-2</v>
      </c>
      <c r="M22">
        <v>5.2999999999999999E-2</v>
      </c>
      <c r="N22">
        <v>5.5E-2</v>
      </c>
      <c r="O22">
        <v>0.05</v>
      </c>
      <c r="P22">
        <v>0.05</v>
      </c>
      <c r="Q22">
        <v>0.05</v>
      </c>
      <c r="R22">
        <v>0.05</v>
      </c>
      <c r="S22">
        <v>0.05</v>
      </c>
      <c r="T22">
        <v>0.05</v>
      </c>
      <c r="U22">
        <v>0.05</v>
      </c>
      <c r="V22">
        <v>0.05</v>
      </c>
      <c r="W22">
        <v>0.05</v>
      </c>
      <c r="X22">
        <v>0.05</v>
      </c>
      <c r="Y22">
        <v>0.05</v>
      </c>
      <c r="Z22">
        <v>0.05</v>
      </c>
      <c r="AA22">
        <v>0.05</v>
      </c>
      <c r="AB22">
        <v>0.05</v>
      </c>
      <c r="AC22">
        <v>0.05</v>
      </c>
      <c r="AD22">
        <v>0.05</v>
      </c>
      <c r="AE22">
        <v>0.05</v>
      </c>
      <c r="AF22">
        <v>0.05</v>
      </c>
      <c r="AG22">
        <v>0.05</v>
      </c>
    </row>
    <row r="23" spans="3:33" x14ac:dyDescent="0.2">
      <c r="C23" s="2" t="s">
        <v>40</v>
      </c>
      <c r="D23">
        <v>1.4877366106335761E-2</v>
      </c>
      <c r="E23">
        <v>1.339783867439639E-2</v>
      </c>
      <c r="F23">
        <v>1.2914752032993903E-2</v>
      </c>
      <c r="G23">
        <v>1.2334853086683334E-2</v>
      </c>
      <c r="H23">
        <v>1.1859139405223745E-2</v>
      </c>
      <c r="I23">
        <v>1.2999999999999999E-2</v>
      </c>
      <c r="J23">
        <v>1.2999999999999999E-2</v>
      </c>
      <c r="K23">
        <v>1.2999999999999999E-2</v>
      </c>
      <c r="L23">
        <v>1.2E-2</v>
      </c>
      <c r="M23">
        <v>1.1999999999999927E-2</v>
      </c>
      <c r="N23">
        <v>1.2000000000000037E-2</v>
      </c>
      <c r="O23">
        <v>1.0999999999999984E-2</v>
      </c>
      <c r="P23">
        <v>1.099999999999976E-2</v>
      </c>
      <c r="Q23">
        <v>1.0000000000000073E-2</v>
      </c>
      <c r="R23">
        <v>9.9999999999999863E-3</v>
      </c>
      <c r="S23">
        <v>8.9999999999999108E-3</v>
      </c>
      <c r="T23">
        <v>8.9999999999998068E-3</v>
      </c>
      <c r="U23">
        <v>8.9999999999998258E-3</v>
      </c>
      <c r="V23">
        <v>8.0000000000000106E-3</v>
      </c>
      <c r="W23">
        <v>7.9999999999999499E-3</v>
      </c>
      <c r="X23">
        <v>6.9999999999998553E-3</v>
      </c>
      <c r="Y23">
        <v>6.9999999999998371E-3</v>
      </c>
      <c r="Z23">
        <v>6.000000000000053E-3</v>
      </c>
      <c r="AA23">
        <v>6.0000000000000851E-3</v>
      </c>
      <c r="AB23">
        <v>4.9999999999998527E-3</v>
      </c>
      <c r="AC23">
        <v>4.9999999999999333E-3</v>
      </c>
      <c r="AD23">
        <v>4.9999999999997919E-3</v>
      </c>
      <c r="AE23">
        <v>3.9999999999999281E-3</v>
      </c>
      <c r="AF23">
        <v>3.9999999999999957E-3</v>
      </c>
      <c r="AG23">
        <v>2.9999999999998695E-3</v>
      </c>
    </row>
    <row r="24" spans="3:33" x14ac:dyDescent="0.2">
      <c r="C24" t="s">
        <v>42</v>
      </c>
      <c r="D24">
        <v>3.2567230254789753E-3</v>
      </c>
      <c r="E24">
        <v>0.23411486633978271</v>
      </c>
      <c r="F24">
        <v>0.16082701861876619</v>
      </c>
      <c r="G24">
        <v>0.17626278323388364</v>
      </c>
      <c r="H24">
        <v>0.15775113409377214</v>
      </c>
      <c r="I24">
        <v>0.143768604685237</v>
      </c>
      <c r="J24">
        <v>8.6304059289662213E-2</v>
      </c>
      <c r="K24">
        <v>8.2423043818820402E-2</v>
      </c>
      <c r="L24">
        <v>7.6467304351468882E-2</v>
      </c>
      <c r="M24">
        <v>7.5005742572841164E-2</v>
      </c>
      <c r="N24">
        <v>7.5452936077500851E-2</v>
      </c>
      <c r="O24">
        <v>4.4345736119833432E-2</v>
      </c>
      <c r="P24">
        <v>6.9040562786991846E-2</v>
      </c>
      <c r="Q24">
        <v>6.7068520048459007E-2</v>
      </c>
      <c r="R24">
        <v>6.412801862042887E-2</v>
      </c>
      <c r="S24">
        <v>6.4020365027247936E-2</v>
      </c>
      <c r="T24">
        <v>6.2789778280654199E-2</v>
      </c>
      <c r="U24">
        <v>6.174597962731633E-2</v>
      </c>
      <c r="V24">
        <v>3.220028149156965E-2</v>
      </c>
      <c r="W24">
        <v>6.1798412478618746E-2</v>
      </c>
    </row>
  </sheetData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Driver</vt:lpstr>
    </vt:vector>
  </TitlesOfParts>
  <Company>GERAD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Kathleen</dc:creator>
  <cp:lastModifiedBy>SEREYVATHNA SAN</cp:lastModifiedBy>
  <dcterms:created xsi:type="dcterms:W3CDTF">2003-05-09T19:31:38Z</dcterms:created>
  <dcterms:modified xsi:type="dcterms:W3CDTF">2026-10-13T06:07:14Z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813344895839691</vt:lpwstr>
  </property>
</Properties>
</file>