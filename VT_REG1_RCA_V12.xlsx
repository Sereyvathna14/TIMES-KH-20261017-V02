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"/>
    </mc:Choice>
  </mc:AlternateContent>
  <xr:revisionPtr revIDLastSave="0" documentId="13_ncr:1_{A1C622D1-4B9E-4AC4-9C22-231F1BC49E05}" xr6:coauthVersionLast="47" xr6:coauthVersionMax="47" xr10:uidLastSave="{00000000-0000-0000-0000-000000000000}"/>
  <bookViews>
    <workbookView xWindow="-108" yWindow="-108" windowWidth="23256" windowHeight="12576" tabRatio="901" activeTab="8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  <externalReference r:id="rId1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E15" i="134" l="1"/>
  <c r="C13" i="155"/>
  <c r="Q6" i="155"/>
  <c r="C23" i="154"/>
  <c r="C22" i="154"/>
  <c r="C21" i="154"/>
  <c r="O20" i="154"/>
  <c r="N20" i="154"/>
  <c r="C20" i="154"/>
  <c r="O19" i="154"/>
  <c r="N19" i="154"/>
  <c r="C19" i="154"/>
  <c r="O18" i="154"/>
  <c r="N18" i="154"/>
  <c r="C18" i="154"/>
  <c r="O17" i="154"/>
  <c r="N17" i="154"/>
  <c r="O16" i="154"/>
  <c r="N16" i="154"/>
  <c r="F15" i="154"/>
  <c r="N9" i="154"/>
  <c r="M9" i="154"/>
  <c r="M20" i="154" s="1"/>
  <c r="L9" i="154"/>
  <c r="N8" i="154"/>
  <c r="M8" i="154"/>
  <c r="M19" i="154" s="1"/>
  <c r="L8" i="154"/>
  <c r="N7" i="154"/>
  <c r="M7" i="154"/>
  <c r="M18" i="154" s="1"/>
  <c r="L7" i="154"/>
  <c r="N6" i="154"/>
  <c r="M6" i="154"/>
  <c r="M17" i="154" s="1"/>
  <c r="L6" i="154"/>
  <c r="N5" i="154"/>
  <c r="M5" i="154"/>
  <c r="M16" i="154" s="1"/>
  <c r="L5" i="154"/>
  <c r="M26" i="133"/>
  <c r="I23" i="133"/>
  <c r="C16" i="155" l="1"/>
  <c r="C12" i="155"/>
  <c r="C15" i="155"/>
  <c r="C14" i="155"/>
  <c r="D25" i="154"/>
  <c r="C25" i="154" s="1"/>
  <c r="L20" i="154"/>
  <c r="B25" i="154" s="1"/>
  <c r="L19" i="154"/>
  <c r="B24" i="154" s="1"/>
  <c r="D24" i="154"/>
  <c r="C24" i="154" s="1"/>
  <c r="L18" i="154"/>
  <c r="B18" i="154" s="1"/>
  <c r="D18" i="154"/>
  <c r="L17" i="154"/>
  <c r="B17" i="154" s="1"/>
  <c r="D17" i="154"/>
  <c r="C17" i="154" s="1"/>
  <c r="L16" i="154"/>
  <c r="B16" i="154" s="1"/>
  <c r="D16" i="154"/>
  <c r="C16" i="154" s="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E22" i="152" s="1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U26" i="133"/>
  <c r="I26" i="133"/>
  <c r="U23" i="133"/>
  <c r="E2" i="138"/>
  <c r="Q17" i="138" s="1"/>
  <c r="E2" i="153"/>
  <c r="R16" i="153" s="1"/>
  <c r="E2" i="155"/>
  <c r="C2" i="155"/>
  <c r="P6" i="155" s="1"/>
  <c r="B2" i="155"/>
  <c r="H2" i="155"/>
  <c r="D2" i="155"/>
  <c r="C2" i="154"/>
  <c r="B2" i="154"/>
  <c r="F2" i="154"/>
  <c r="E2" i="154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F16" i="155" l="1"/>
  <c r="R12" i="155"/>
  <c r="Q12" i="155"/>
  <c r="Q5" i="155"/>
  <c r="O12" i="155"/>
  <c r="B12" i="155" s="1"/>
  <c r="O6" i="155"/>
  <c r="O5" i="155"/>
  <c r="P12" i="155"/>
  <c r="P5" i="155"/>
  <c r="F13" i="155"/>
  <c r="F15" i="155"/>
  <c r="F12" i="155"/>
  <c r="F14" i="155"/>
  <c r="G14" i="155" s="1"/>
  <c r="E17" i="138"/>
  <c r="K17" i="138" s="1"/>
  <c r="B8" i="149"/>
  <c r="N6" i="152"/>
  <c r="E19" i="152"/>
  <c r="Q15" i="138"/>
  <c r="Q5" i="138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O21" i="140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M5" i="140"/>
  <c r="M17" i="140" s="1"/>
  <c r="E20" i="140"/>
  <c r="U13" i="133"/>
  <c r="L10" i="140"/>
  <c r="D27" i="140" s="1"/>
  <c r="C27" i="140" s="1"/>
  <c r="E18" i="138"/>
  <c r="K18" i="138" s="1"/>
  <c r="P17" i="138"/>
  <c r="P16" i="138"/>
  <c r="M9" i="152"/>
  <c r="M20" i="152" s="1"/>
  <c r="P5" i="138"/>
  <c r="V11" i="133"/>
  <c r="N5" i="152"/>
  <c r="J13" i="133"/>
  <c r="V9" i="133"/>
  <c r="M10" i="152"/>
  <c r="M21" i="152" s="1"/>
  <c r="V8" i="133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P14" i="138"/>
  <c r="R18" i="153"/>
  <c r="Q14" i="153"/>
  <c r="Q15" i="153"/>
  <c r="F13" i="133"/>
  <c r="E20" i="152"/>
  <c r="Q13" i="133"/>
  <c r="E24" i="140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3" i="140"/>
  <c r="L8" i="140"/>
  <c r="E16" i="153"/>
  <c r="K16" i="153" s="1"/>
  <c r="E13" i="134" s="1"/>
  <c r="Q18" i="153"/>
  <c r="P18" i="138"/>
  <c r="R17" i="153"/>
  <c r="P13" i="133"/>
  <c r="D17" i="140"/>
  <c r="C17" i="140" s="1"/>
  <c r="Q17" i="153"/>
  <c r="L6" i="152"/>
  <c r="O8" i="153"/>
  <c r="H8" i="149" s="1"/>
  <c r="S13" i="133"/>
  <c r="Q16" i="153"/>
  <c r="V12" i="133"/>
  <c r="M13" i="133"/>
  <c r="E22" i="140"/>
  <c r="V6" i="133"/>
  <c r="Q16" i="138"/>
  <c r="M6" i="152"/>
  <c r="M17" i="152" s="1"/>
  <c r="R15" i="138"/>
  <c r="Q14" i="138"/>
  <c r="Q18" i="138"/>
  <c r="D12" i="155" l="1"/>
  <c r="D13" i="155"/>
  <c r="D14" i="155"/>
  <c r="D15" i="155"/>
  <c r="D16" i="155"/>
  <c r="D16" i="152"/>
  <c r="C16" i="152" s="1"/>
  <c r="D6" i="149"/>
  <c r="C6" i="149"/>
  <c r="E14" i="134"/>
  <c r="D26" i="152"/>
  <c r="C26" i="152" s="1"/>
  <c r="L21" i="140"/>
  <c r="B26" i="140" s="1"/>
  <c r="I6" i="149"/>
  <c r="D18" i="152"/>
  <c r="K6" i="149"/>
  <c r="L18" i="152"/>
  <c r="B18" i="152" s="1"/>
  <c r="E6" i="149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135FA6B5-D5F6-47AA-8BAB-B08DCAAAA63C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1C4CA34B-1D0E-4D21-8FD6-8EFAFA1552AC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D41CB4A0-BBF3-49AA-A6EE-AC44A4E3CC7F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DCAC2430-36F3-44DA-A3FF-0CE6E732F9C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8A15104A-8CE4-4AD5-B26A-6D7187986EF9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793C6C27-6B5F-432A-98E3-692E1CEBDE38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81968EE3-4705-4E40-957B-A4AE5E1480F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C7413A8D-2C5F-4925-BE75-8B0510D0A5B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C32FFC6A-3824-4303-AAC2-0C4CCF2B314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5C0567BE-56F7-4695-9FF6-B4B4E14A4D4B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7713E87A-50E0-4DC4-896E-A24735B02FC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F56F48DA-0D73-49B8-BF2E-4DDDD72835A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9889F8BB-2635-41C0-A4C3-783650D5B29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AD9114B1-11E7-4E11-A8AD-6A93F18CBF1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324BCA14-FC8D-4A62-BCD1-18785BA3D75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2038C725-F30D-4EC6-B2FA-9206C192223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18A5E779-3F07-4FEC-9FC1-0C4FA21B02E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B540F529-922B-45D8-BEB9-99D56FF3B931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<sst xmlns="http://schemas.openxmlformats.org/spreadsheetml/2006/main" count="679" uniqueCount="185">
  <si>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</si>
  <si>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</si>
  <si>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</si>
  <si>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</si>
  <si>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</si>
  <si>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</si>
  <si>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</si>
  <si>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</si>
  <si>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</si>
  <si>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</si>
  <si>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</si>
  <si>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</si>
  <si>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</si>
  <si>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</si>
  <si>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</si>
  <si>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</si>
  <si>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</si>
  <si>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</si>
  <si>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</si>
  <si>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</si>
  <si>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</si>
  <si>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</si>
  <si>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</si>
  <si>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</si>
  <si>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</si>
  <si>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</si>
  <si>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</si>
  <si>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</si>
  <si>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</si>
  <si>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</si>
  <si>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</si>
  <si>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</si>
  <si>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</si>
  <si>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</si>
  <si>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</si>
  <si>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</si>
  <si>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</si>
  <si>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</si>
  <si>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</si>
  <si>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</si>
  <si>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</si>
  <si>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</si>
  <si>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</si>
  <si>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</si>
  <si>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</si>
  <si>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</si>
  <si>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</si>
  <si>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</si>
  <si>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</si>
  <si>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</si>
  <si>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</si>
  <si>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</si>
  <si>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</si>
  <si>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</si>
  <si>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</si>
  <si>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</si>
  <si>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</si>
  <si>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</si>
  <si>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</si>
  <si>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</si>
  <si>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</si>
  <si>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</si>
  <si>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</si>
  <si>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</si>
  <si>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</si>
  <si>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</si>
  <si>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</si>
  <si>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</si>
  <si>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</si>
  <si>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</si>
  <si>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</si>
  <si>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</si>
  <si>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</si>
  <si>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</si>
  <si>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</si>
  <si>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</si>
  <si>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</si>
  <si>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</si>
  <si>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</si>
  <si>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</si>
  <si>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</si>
  <si>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</si>
  <si>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</si>
  <si>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</si>
  <si>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</si>
  <si>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</si>
  <si>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</si>
  <si>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</si>
  <si>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</si>
  <si>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</si>
  <si>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</si>
  <si>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</si>
  <si>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</si>
  <si>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</si>
  <si>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</si>
  <si>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</si>
  <si>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</si>
  <si>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</si>
  <si>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</si>
  <si>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</si>
  <si>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</si>
  <si>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</si>
  <si>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</si>
  <si>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</si>
  <si>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</si>
  <si>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</si>
  <si>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</si>
  <si>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</si>
  <si>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</si>
  <si>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</si>
  <si>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</si>
  <si>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</si>
  <si>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</si>
  <si>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</si>
  <si>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</si>
  <si>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</si>
  <si>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</si>
  <si>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</si>
  <si>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</si>
  <si>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</si>
  <si>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</si>
  <si>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</si>
  <si>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</si>
  <si>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</si>
  <si>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</si>
  <si>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</si>
  <si>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</si>
  <si>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</si>
  <si>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</si>
  <si>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</si>
  <si>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</si>
  <si>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</si>
  <si>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</si>
  <si>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</si>
  <si>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</si>
  <si>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</si>
  <si>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</si>
  <si>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</si>
  <si>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</si>
  <si>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</si>
  <si>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</si>
  <si>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</si>
  <si>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</si>
  <si>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</si>
  <si>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</si>
  <si>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</si>
  <si>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</si>
  <si>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</si>
  <si>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</si>
  <si>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</si>
  <si>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</si>
  <si>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</si>
  <si>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</si>
  <si>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</si>
  <si>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</si>
  <si>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</si>
  <si>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</si>
  <si>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</si>
  <si>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</si>
  <si>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</si>
  <si>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</si>
  <si>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</si>
  <si>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</si>
  <si>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</si>
  <si>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</si>
  <si>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</si>
  <si>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</si>
  <si>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</si>
  <si>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</si>
  <si>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</si>
  <si>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</si>
  <si>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</si>
  <si>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</si>
  <si>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</si>
  <si>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</si>
  <si>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</si>
  <si>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</si>
  <si>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</si>
  <si>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</si>
  <si>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</si>
  <si>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Relaxation factor</t>
  </si>
  <si>
    <t>Share-I~2050~UP</t>
  </si>
  <si>
    <t>Remaining Lifetime</t>
  </si>
  <si>
    <t>AOTETOT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</si>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</sst>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6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9" fontId="30" fillId="0" borderId="0" applyFont="0" applyFill="0" applyBorder="0" applyAlignment="0" applyProtection="0"/>
  </cellStyleXfs>
  <cellXfs count="16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2" fontId="4" fillId="16" borderId="5" xfId="10" applyNumberFormat="1" applyFill="1" applyBorder="1"/>
    <xf numFmtId="2" fontId="4" fillId="16" borderId="0" xfId="10" applyNumberForma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2" fontId="24" fillId="13" borderId="0" xfId="2" applyNumberFormat="1" applyFont="1" applyFill="1" applyBorder="1" applyAlignment="1">
      <alignment horizontal="right" wrapText="1"/>
    </xf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6" xfId="0" applyNumberFormat="1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166" fontId="1" fillId="0" borderId="0" xfId="0" applyNumberFormat="1" applyFont="1"/>
    <xf numFmtId="1" fontId="1" fillId="0" borderId="0" xfId="0" applyNumberFormat="1" applyFont="1"/>
    <xf numFmtId="2" fontId="1" fillId="0" borderId="0" xfId="9" applyNumberFormat="1" applyFont="1" applyFill="1"/>
    <xf numFmtId="0" fontId="1" fillId="0" borderId="0" xfId="9" applyFont="1" applyFill="1"/>
    <xf numFmtId="2" fontId="1" fillId="16" borderId="0" xfId="9" applyNumberFormat="1" applyFont="1" applyFill="1"/>
    <xf numFmtId="0" fontId="1" fillId="16" borderId="0" xfId="9" applyFont="1" applyFill="1"/>
    <xf numFmtId="0" fontId="17" fillId="9" borderId="0" xfId="7"/>
    <xf numFmtId="9" fontId="17" fillId="9" borderId="0" xfId="7" applyNumberFormat="1" applyAlignment="1">
      <alignment horizontal="left"/>
    </xf>
    <xf numFmtId="9" fontId="1" fillId="17" borderId="0" xfId="17" applyFont="1" applyFill="1"/>
    <xf numFmtId="9" fontId="30" fillId="16" borderId="0" xfId="25" applyFont="1" applyFill="1"/>
    <xf numFmtId="2" fontId="0" fillId="19" borderId="0" xfId="0" applyNumberFormat="1" applyFill="1"/>
    <xf numFmtId="2" fontId="0" fillId="19" borderId="25" xfId="0" applyNumberFormat="1" applyFill="1" applyBorder="1"/>
    <xf numFmtId="0" fontId="1" fillId="0" borderId="2" xfId="0" applyFont="1" applyBorder="1"/>
  </cellXfs>
  <cellStyles count="26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6" xfId="25" xr:uid="{74057C38-46DB-4ADD-B1C8-F44FE30DFE76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18</xdr:row>
      <xdr:rowOff>0</xdr:rowOff>
    </xdr:from>
    <xdr:to>
      <xdr:col>17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ey\Downloads\Demo_S012_Vonline-master%20(1)\Demo_S012_Vonline-master\VT_REG2_RCA_V121.xlsx" TargetMode="External"/><Relationship Id="rId1" Type="http://schemas.openxmlformats.org/officeDocument/2006/relationships/externalLinkPath" Target="file:///C:\Users\serey\Downloads\Demo_S012_Vonline-master%20(1)\Demo_S012_Vonline-master\VT_REG2_RCA_V1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6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RCA"/>
      <sheetName val="Sector_Fuels_AGR"/>
      <sheetName val="DemTechs_AGR"/>
      <sheetName val="Sector_Fuels_COM"/>
      <sheetName val="DemTechs_COM"/>
      <sheetName val="Sector_Fuels_RSD"/>
      <sheetName val="DemTechs_RS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F2" t="str">
            <v>OIL</v>
          </cell>
          <cell r="G2" t="str">
            <v>DSL</v>
          </cell>
          <cell r="H2" t="str">
            <v>KER</v>
          </cell>
          <cell r="I2" t="str">
            <v>LPG</v>
          </cell>
          <cell r="J2" t="str">
            <v>GSL</v>
          </cell>
          <cell r="L2" t="str">
            <v>HFO</v>
          </cell>
          <cell r="M2" t="str">
            <v>OPP</v>
          </cell>
          <cell r="O2" t="str">
            <v>BIO</v>
          </cell>
          <cell r="U2" t="str">
            <v>ELC</v>
          </cell>
          <cell r="V2" t="str">
            <v>TOT</v>
          </cell>
          <cell r="AA2" t="str">
            <v>kt</v>
          </cell>
        </row>
        <row r="3">
          <cell r="D3" t="str">
            <v>Solid Fuels</v>
          </cell>
          <cell r="E3" t="str">
            <v>Natural Gas</v>
          </cell>
          <cell r="F3" t="str">
            <v>Crude oil</v>
          </cell>
          <cell r="O3" t="str">
            <v>Biomass</v>
          </cell>
          <cell r="U3" t="str">
            <v>Electricity</v>
          </cell>
        </row>
        <row r="20">
          <cell r="C20" t="str">
            <v>OT</v>
          </cell>
          <cell r="X20" t="str">
            <v>Demand</v>
          </cell>
        </row>
        <row r="29">
          <cell r="C29" t="str">
            <v>CO2</v>
          </cell>
        </row>
        <row r="30">
          <cell r="C30" t="str">
            <v>Carbon dioxide</v>
          </cell>
        </row>
      </sheetData>
      <sheetData sheetId="1"/>
      <sheetData sheetId="2">
        <row r="5">
          <cell r="L5" t="str">
            <v>AGRCOA</v>
          </cell>
        </row>
        <row r="6">
          <cell r="L6" t="str">
            <v>AGRGAS</v>
          </cell>
        </row>
        <row r="7">
          <cell r="L7" t="str">
            <v>AGROIL</v>
          </cell>
        </row>
        <row r="8">
          <cell r="L8" t="str">
            <v>AGRBIO</v>
          </cell>
        </row>
        <row r="9">
          <cell r="L9" t="str">
            <v>AGRELC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3"/>
  <sheetViews>
    <sheetView topLeftCell="B1" zoomScale="70" zoomScaleNormal="7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D8" sqref="D8:U8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4" width="12" bestFit="1" customWidth="1"/>
    <col min="5" max="5" width="12.33203125" bestFit="1" customWidth="1"/>
    <col min="6" max="7" width="10.88671875" customWidth="1"/>
    <col min="8" max="8" width="12.109375" bestFit="1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3.5546875" bestFit="1" customWidth="1"/>
    <col min="26" max="26" width="6.6640625" bestFit="1" customWidth="1"/>
    <col min="27" max="27" width="9.33203125" bestFit="1" customWidth="1"/>
  </cols>
  <sheetData>
    <row r="1" spans="2:27" x14ac:dyDescent="0.25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6" x14ac:dyDescent="0.3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6.4" x14ac:dyDescent="0.25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5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4.4" x14ac:dyDescent="0.3">
      <c r="B5" s="37" t="s">
        <v>58</v>
      </c>
      <c r="C5" s="46" t="s">
        <v>59</v>
      </c>
      <c r="D5" s="143">
        <f>[3]EB1!D16</f>
        <v>0</v>
      </c>
      <c r="E5" s="143">
        <f>[3]EB1!E16</f>
        <v>0</v>
      </c>
      <c r="F5" s="144">
        <f>[3]EB1!F16</f>
        <v>0</v>
      </c>
      <c r="G5" s="143">
        <f>[3]EB1!G16</f>
        <v>0</v>
      </c>
      <c r="H5" s="143">
        <f>[3]EB1!H16</f>
        <v>0</v>
      </c>
      <c r="I5" s="143">
        <f>[3]EB1!I16</f>
        <v>8.7784635600000005</v>
      </c>
      <c r="J5" s="143">
        <f>[3]EB1!J16</f>
        <v>0</v>
      </c>
      <c r="K5" s="144">
        <f>[3]EB1!K16</f>
        <v>0</v>
      </c>
      <c r="L5" s="143">
        <f>[3]EB1!L16</f>
        <v>0</v>
      </c>
      <c r="M5" s="143">
        <f>[3]EB1!M16</f>
        <v>0</v>
      </c>
      <c r="N5" s="144">
        <f>[3]EB1!N16</f>
        <v>0</v>
      </c>
      <c r="O5" s="145">
        <f>[3]EB1!O16</f>
        <v>29.606118840000001</v>
      </c>
      <c r="P5" s="144">
        <f>[3]EB1!P16</f>
        <v>0</v>
      </c>
      <c r="Q5" s="144">
        <f>[3]EB1!Q16</f>
        <v>0</v>
      </c>
      <c r="R5" s="143">
        <f>[3]EB1!R16</f>
        <v>0</v>
      </c>
      <c r="S5" s="144">
        <f>[3]EB1!S16</f>
        <v>0</v>
      </c>
      <c r="T5" s="144">
        <f>[3]EB1!T16</f>
        <v>0</v>
      </c>
      <c r="U5" s="143">
        <f>[3]EB1!U16</f>
        <v>15.231997080000001</v>
      </c>
      <c r="V5" s="79">
        <f t="shared" ref="V5:V12" si="0">SUM(D5:U5)</f>
        <v>53.616579479999999</v>
      </c>
    </row>
    <row r="6" spans="2:27" ht="14.4" x14ac:dyDescent="0.3">
      <c r="B6" s="37" t="s">
        <v>60</v>
      </c>
      <c r="C6" s="47" t="s">
        <v>61</v>
      </c>
      <c r="D6" s="146">
        <f>[3]EB1!D17</f>
        <v>0</v>
      </c>
      <c r="E6" s="143">
        <f>[3]EB1!E17</f>
        <v>0</v>
      </c>
      <c r="F6" s="144">
        <f>[3]EB1!F17</f>
        <v>0</v>
      </c>
      <c r="G6" s="143">
        <f>[3]EB1!G17</f>
        <v>0</v>
      </c>
      <c r="H6" s="143">
        <f>[3]EB1!H17</f>
        <v>0</v>
      </c>
      <c r="I6" s="143">
        <f>[3]EB1!I17</f>
        <v>5.3591040000000003</v>
      </c>
      <c r="J6" s="143">
        <f>[3]EB1!J17</f>
        <v>0</v>
      </c>
      <c r="K6" s="144">
        <f>[3]EB1!K17</f>
        <v>0</v>
      </c>
      <c r="L6" s="143">
        <f>[3]EB1!L17</f>
        <v>0</v>
      </c>
      <c r="M6" s="143">
        <f>[3]EB1!M17</f>
        <v>2.0264112000000001E-2</v>
      </c>
      <c r="N6" s="144">
        <f>[3]EB1!N17</f>
        <v>0</v>
      </c>
      <c r="O6" s="143">
        <f>[3]EB1!O17</f>
        <v>0</v>
      </c>
      <c r="P6" s="144">
        <f>[3]EB1!P17</f>
        <v>0</v>
      </c>
      <c r="Q6" s="144">
        <f>[3]EB1!Q17</f>
        <v>0</v>
      </c>
      <c r="R6" s="143">
        <f>[3]EB1!R17</f>
        <v>0</v>
      </c>
      <c r="S6" s="144">
        <f>[3]EB1!S17</f>
        <v>0</v>
      </c>
      <c r="T6" s="144">
        <f>[3]EB1!T17</f>
        <v>0</v>
      </c>
      <c r="U6" s="143">
        <f>[3]EB1!U17</f>
        <v>11.973410640000001</v>
      </c>
      <c r="V6" s="79">
        <f t="shared" si="0"/>
        <v>17.352778751999999</v>
      </c>
    </row>
    <row r="7" spans="2:27" x14ac:dyDescent="0.25">
      <c r="B7" s="37" t="s">
        <v>62</v>
      </c>
      <c r="C7" s="130" t="s">
        <v>63</v>
      </c>
      <c r="D7" s="132">
        <f>[3]EB1!D18</f>
        <v>20.32984476</v>
      </c>
      <c r="E7" s="78">
        <f>[3]EB1!E18</f>
        <v>0</v>
      </c>
      <c r="F7" s="78">
        <f>[3]EB1!F18</f>
        <v>0</v>
      </c>
      <c r="G7" s="133">
        <f>[3]EB1!G18</f>
        <v>9.3960165599999996</v>
      </c>
      <c r="H7" s="78">
        <f>[3]EB1!H18</f>
        <v>0</v>
      </c>
      <c r="I7" s="78">
        <f>[3]EB1!I18</f>
        <v>2.8470240000000004E-2</v>
      </c>
      <c r="J7" s="78">
        <f>[3]EB1!J18</f>
        <v>0</v>
      </c>
      <c r="K7" s="78">
        <f>[3]EB1!K18</f>
        <v>0</v>
      </c>
      <c r="L7" s="78">
        <f>[3]EB1!L18</f>
        <v>5.0660280000000002E-2</v>
      </c>
      <c r="M7" s="78">
        <f>[3]EB1!M18</f>
        <v>0</v>
      </c>
      <c r="N7" s="78">
        <f>[3]EB1!N18</f>
        <v>0</v>
      </c>
      <c r="O7" s="132">
        <f>[3]EB1!O18</f>
        <v>60.016103280000003</v>
      </c>
      <c r="P7" s="78">
        <f>[3]EB1!P18</f>
        <v>0</v>
      </c>
      <c r="Q7" s="78">
        <f>[3]EB1!Q18</f>
        <v>0</v>
      </c>
      <c r="R7" s="78">
        <f>[3]EB1!R18</f>
        <v>0</v>
      </c>
      <c r="S7" s="78">
        <f>[3]EB1!S18</f>
        <v>0</v>
      </c>
      <c r="T7" s="78">
        <f>[3]EB1!T18</f>
        <v>0</v>
      </c>
      <c r="U7" s="78">
        <f>[3]EB1!U18</f>
        <v>15.341691240000001</v>
      </c>
      <c r="V7" s="79">
        <f t="shared" si="0"/>
        <v>105.16278636</v>
      </c>
    </row>
    <row r="8" spans="2:27" ht="14.4" x14ac:dyDescent="0.3">
      <c r="B8" s="37" t="s">
        <v>64</v>
      </c>
      <c r="C8" s="47" t="s">
        <v>65</v>
      </c>
      <c r="D8" s="165">
        <f>[3]EB1!D19</f>
        <v>0</v>
      </c>
      <c r="E8" s="165">
        <f>[3]EB1!E19</f>
        <v>0</v>
      </c>
      <c r="F8" s="165">
        <f>[3]EB1!F19</f>
        <v>0</v>
      </c>
      <c r="G8" s="166">
        <f>[3]EB1!G19</f>
        <v>8.9932464000000003</v>
      </c>
      <c r="H8" s="165">
        <f>[3]EB1!H19</f>
        <v>0</v>
      </c>
      <c r="I8" s="165">
        <f>[3]EB1!I19</f>
        <v>0</v>
      </c>
      <c r="J8" s="165">
        <f>[3]EB1!J19</f>
        <v>0</v>
      </c>
      <c r="K8" s="165">
        <f>[3]EB1!K19</f>
        <v>0</v>
      </c>
      <c r="L8" s="165">
        <f>[3]EB1!L19</f>
        <v>0</v>
      </c>
      <c r="M8" s="165">
        <f>[3]EB1!M19</f>
        <v>0</v>
      </c>
      <c r="N8" s="165">
        <f>[3]EB1!N19</f>
        <v>0</v>
      </c>
      <c r="O8" s="165">
        <f>[3]EB1!O19</f>
        <v>0</v>
      </c>
      <c r="P8" s="165">
        <f>[3]EB1!P19</f>
        <v>0</v>
      </c>
      <c r="Q8" s="165">
        <f>[3]EB1!Q19</f>
        <v>0</v>
      </c>
      <c r="R8" s="165">
        <f>[3]EB1!R19</f>
        <v>0</v>
      </c>
      <c r="S8" s="165">
        <f>[3]EB1!S19</f>
        <v>4.1868000000000006E-5</v>
      </c>
      <c r="T8" s="165">
        <f>[3]EB1!T19</f>
        <v>0</v>
      </c>
      <c r="U8" s="165">
        <f>[3]EB1!U19</f>
        <v>0</v>
      </c>
      <c r="V8" s="42">
        <f t="shared" si="0"/>
        <v>8.9932882680000006</v>
      </c>
    </row>
    <row r="9" spans="2:27" x14ac:dyDescent="0.25">
      <c r="B9" s="37" t="s">
        <v>66</v>
      </c>
      <c r="C9" s="47" t="s">
        <v>67</v>
      </c>
      <c r="D9" s="78">
        <f>[3]EB1!D20</f>
        <v>0</v>
      </c>
      <c r="E9" s="78">
        <f>[3]EB1!E20</f>
        <v>0</v>
      </c>
      <c r="F9" s="78">
        <f>[3]EB1!F20</f>
        <v>0</v>
      </c>
      <c r="G9" s="134">
        <f>[3]EB1!G20</f>
        <v>59.234009040000004</v>
      </c>
      <c r="H9" s="131">
        <f>[3]EB1!H20</f>
        <v>2.9927246400000005</v>
      </c>
      <c r="I9" s="135">
        <f>[3]EB1!I20</f>
        <v>1.2346873199999999</v>
      </c>
      <c r="J9" s="136">
        <f>[3]EB1!J20</f>
        <v>28.510014600000005</v>
      </c>
      <c r="K9" s="78">
        <f>[3]EB1!K20</f>
        <v>0</v>
      </c>
      <c r="L9" s="78">
        <f>[3]EB1!L20</f>
        <v>1.2556213199999999</v>
      </c>
      <c r="M9" s="78">
        <f>[3]EB1!M20</f>
        <v>8.1692841600000001</v>
      </c>
      <c r="N9" s="78">
        <f>[3]EB1!N20</f>
        <v>0</v>
      </c>
      <c r="O9" s="78">
        <f>[3]EB1!O20</f>
        <v>0</v>
      </c>
      <c r="P9" s="78">
        <f>[3]EB1!P20</f>
        <v>0</v>
      </c>
      <c r="Q9" s="78">
        <f>[3]EB1!Q20</f>
        <v>0</v>
      </c>
      <c r="R9" s="78">
        <f>[3]EB1!R20</f>
        <v>0</v>
      </c>
      <c r="S9" s="78">
        <f>[3]EB1!S20</f>
        <v>0</v>
      </c>
      <c r="T9" s="78">
        <f>[3]EB1!T20</f>
        <v>0</v>
      </c>
      <c r="U9" s="78">
        <f>[3]EB1!U20</f>
        <v>0</v>
      </c>
      <c r="V9" s="79">
        <f t="shared" si="0"/>
        <v>101.39634108000001</v>
      </c>
    </row>
    <row r="10" spans="2:27" x14ac:dyDescent="0.25">
      <c r="B10" s="37" t="s">
        <v>68</v>
      </c>
      <c r="C10" s="48" t="s">
        <v>69</v>
      </c>
      <c r="D10" s="41">
        <f>[3]EB1!D21</f>
        <v>0</v>
      </c>
      <c r="E10" s="41">
        <f>[3]EB1!E21</f>
        <v>0</v>
      </c>
      <c r="F10" s="41">
        <f>[3]EB1!F21</f>
        <v>0</v>
      </c>
      <c r="G10" s="41">
        <f>[3]EB1!G21</f>
        <v>0</v>
      </c>
      <c r="H10" s="41">
        <f>[3]EB1!H21</f>
        <v>0</v>
      </c>
      <c r="I10" s="41">
        <f>[3]EB1!I21</f>
        <v>0</v>
      </c>
      <c r="J10" s="41">
        <f>[3]EB1!J21</f>
        <v>0</v>
      </c>
      <c r="K10" s="41">
        <f>[3]EB1!K21</f>
        <v>0</v>
      </c>
      <c r="L10" s="41">
        <f>[3]EB1!L21</f>
        <v>0</v>
      </c>
      <c r="M10" s="41">
        <f>[3]EB1!M21</f>
        <v>0</v>
      </c>
      <c r="N10" s="41">
        <f>[3]EB1!N21</f>
        <v>0</v>
      </c>
      <c r="O10" s="41">
        <f>[3]EB1!O21</f>
        <v>9.4575625199999998</v>
      </c>
      <c r="P10" s="41">
        <f>[3]EB1!P21</f>
        <v>0</v>
      </c>
      <c r="Q10" s="41">
        <f>[3]EB1!Q21</f>
        <v>0</v>
      </c>
      <c r="R10" s="41">
        <f>[3]EB1!R21</f>
        <v>0</v>
      </c>
      <c r="S10" s="41">
        <f>[3]EB1!S21</f>
        <v>2.51208E-4</v>
      </c>
      <c r="T10" s="41">
        <f>[3]EB1!T21</f>
        <v>1.0048319999999998E-3</v>
      </c>
      <c r="U10" s="41">
        <f>[3]EB1!U21</f>
        <v>0</v>
      </c>
      <c r="V10" s="80">
        <f t="shared" si="0"/>
        <v>9.4588185599999992</v>
      </c>
    </row>
    <row r="11" spans="2:27" x14ac:dyDescent="0.25">
      <c r="B11" s="37" t="s">
        <v>85</v>
      </c>
      <c r="C11" s="47" t="s">
        <v>70</v>
      </c>
      <c r="D11" s="78">
        <f>[3]EB1!D22</f>
        <v>0</v>
      </c>
      <c r="E11" s="78">
        <f>[3]EB1!E22</f>
        <v>0</v>
      </c>
      <c r="F11" s="78">
        <f>[3]EB1!F22</f>
        <v>0</v>
      </c>
      <c r="G11" s="78">
        <f>[3]EB1!G22</f>
        <v>0</v>
      </c>
      <c r="H11" s="78">
        <f>[3]EB1!H22</f>
        <v>0</v>
      </c>
      <c r="I11" s="78">
        <f>[3]EB1!I22</f>
        <v>0</v>
      </c>
      <c r="J11" s="78">
        <f>[3]EB1!J22</f>
        <v>0</v>
      </c>
      <c r="K11" s="78">
        <f>[3]EB1!K22</f>
        <v>0</v>
      </c>
      <c r="L11" s="78">
        <f>[3]EB1!L22</f>
        <v>0</v>
      </c>
      <c r="M11" s="78">
        <f>[3]EB1!M22</f>
        <v>0</v>
      </c>
      <c r="N11" s="78">
        <f>[3]EB1!N22</f>
        <v>0</v>
      </c>
      <c r="O11" s="78">
        <f>[3]EB1!O22</f>
        <v>0</v>
      </c>
      <c r="P11" s="78">
        <f>[3]EB1!P22</f>
        <v>0</v>
      </c>
      <c r="Q11" s="78">
        <f>[3]EB1!Q22</f>
        <v>0</v>
      </c>
      <c r="R11" s="78">
        <f>[3]EB1!R22</f>
        <v>0</v>
      </c>
      <c r="S11" s="78">
        <f>[3]EB1!S22</f>
        <v>0</v>
      </c>
      <c r="T11" s="78">
        <f>[3]EB1!T22</f>
        <v>0</v>
      </c>
      <c r="U11" s="78">
        <f>[3]EB1!U22</f>
        <v>0</v>
      </c>
      <c r="V11" s="79">
        <f t="shared" si="0"/>
        <v>0</v>
      </c>
    </row>
    <row r="12" spans="2:27" x14ac:dyDescent="0.25">
      <c r="B12" s="37" t="s">
        <v>86</v>
      </c>
      <c r="C12" s="47" t="s">
        <v>71</v>
      </c>
      <c r="D12" s="78">
        <f>[3]EB1!D23</f>
        <v>0</v>
      </c>
      <c r="E12" s="78">
        <f>[3]EB1!E23</f>
        <v>0</v>
      </c>
      <c r="F12" s="78">
        <f>[3]EB1!F23</f>
        <v>0</v>
      </c>
      <c r="G12" s="78">
        <f>[3]EB1!G23</f>
        <v>0</v>
      </c>
      <c r="H12" s="78">
        <f>[3]EB1!H23</f>
        <v>0</v>
      </c>
      <c r="I12" s="78">
        <f>[3]EB1!I23</f>
        <v>0</v>
      </c>
      <c r="J12" s="78">
        <f>[3]EB1!J23</f>
        <v>0</v>
      </c>
      <c r="K12" s="78">
        <f>[3]EB1!K23</f>
        <v>0</v>
      </c>
      <c r="L12" s="78">
        <f>[3]EB1!L23</f>
        <v>0</v>
      </c>
      <c r="M12" s="78">
        <f>[3]EB1!M23</f>
        <v>0</v>
      </c>
      <c r="N12" s="78">
        <f>[3]EB1!N23</f>
        <v>0</v>
      </c>
      <c r="O12" s="41">
        <f>[3]EB1!O23</f>
        <v>0</v>
      </c>
      <c r="P12" s="41">
        <f>[3]EB1!P23</f>
        <v>0</v>
      </c>
      <c r="Q12" s="41">
        <f>[3]EB1!Q23</f>
        <v>0</v>
      </c>
      <c r="R12" s="78">
        <f>[3]EB1!R23</f>
        <v>0</v>
      </c>
      <c r="S12" s="78">
        <f>[3]EB1!S23</f>
        <v>0</v>
      </c>
      <c r="T12" s="78">
        <f>[3]EB1!T23</f>
        <v>0</v>
      </c>
      <c r="U12" s="78">
        <f>[3]EB1!U23</f>
        <v>0</v>
      </c>
      <c r="V12" s="79">
        <f t="shared" si="0"/>
        <v>0</v>
      </c>
    </row>
    <row r="13" spans="2:27" ht="14.4" x14ac:dyDescent="0.3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5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5">
      <c r="D15" s="6"/>
      <c r="F15" s="6"/>
      <c r="G15" s="6"/>
      <c r="H15" s="6"/>
      <c r="I15" s="6"/>
      <c r="J15" s="6"/>
      <c r="K15" s="6"/>
      <c r="L15" s="6"/>
      <c r="M15" s="6"/>
    </row>
    <row r="16" spans="2:27" ht="14.4" x14ac:dyDescent="0.3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5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5">
      <c r="D18" s="6"/>
      <c r="F18" s="6"/>
      <c r="G18" s="6"/>
      <c r="H18" s="6"/>
      <c r="I18" s="6"/>
      <c r="J18" s="6"/>
      <c r="K18" s="6"/>
      <c r="L18" s="6"/>
      <c r="M18" s="6"/>
    </row>
    <row r="19" spans="2:24" ht="26.4" x14ac:dyDescent="0.25">
      <c r="B19" s="22" t="s">
        <v>100</v>
      </c>
      <c r="C19" s="150" t="s">
        <v>116</v>
      </c>
      <c r="D19" s="84" t="s">
        <v>51</v>
      </c>
      <c r="E19" s="151" t="s">
        <v>52</v>
      </c>
      <c r="F19" s="151" t="s">
        <v>127</v>
      </c>
      <c r="G19" s="151" t="s">
        <v>141</v>
      </c>
      <c r="H19" s="151" t="s">
        <v>137</v>
      </c>
      <c r="I19" s="151" t="s">
        <v>130</v>
      </c>
      <c r="J19" s="151" t="s">
        <v>138</v>
      </c>
      <c r="K19" s="151" t="s">
        <v>139</v>
      </c>
      <c r="L19" s="151" t="s">
        <v>135</v>
      </c>
      <c r="M19" s="151" t="s">
        <v>136</v>
      </c>
      <c r="N19" s="151" t="s">
        <v>53</v>
      </c>
      <c r="O19" s="151" t="s">
        <v>163</v>
      </c>
      <c r="P19" s="151" t="s">
        <v>164</v>
      </c>
      <c r="Q19" s="151" t="s">
        <v>165</v>
      </c>
      <c r="R19" s="151" t="s">
        <v>166</v>
      </c>
      <c r="S19" s="151" t="s">
        <v>54</v>
      </c>
      <c r="T19" s="151" t="s">
        <v>55</v>
      </c>
      <c r="U19" s="152" t="s">
        <v>87</v>
      </c>
      <c r="V19" s="154" t="s">
        <v>56</v>
      </c>
    </row>
    <row r="20" spans="2:24" x14ac:dyDescent="0.25">
      <c r="B20" s="37" t="s">
        <v>64</v>
      </c>
      <c r="C20" s="153" t="s">
        <v>68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51"/>
      <c r="W20" s="83"/>
      <c r="X20" s="50" t="s">
        <v>69</v>
      </c>
    </row>
    <row r="21" spans="2:24" ht="14.4" x14ac:dyDescent="0.3">
      <c r="B21" s="82" t="s">
        <v>58</v>
      </c>
      <c r="C21" s="38" t="s">
        <v>175</v>
      </c>
      <c r="D21" s="97"/>
      <c r="E21" s="58"/>
      <c r="F21" s="98"/>
      <c r="G21" s="98"/>
      <c r="H21" s="98"/>
      <c r="I21" s="58">
        <v>0</v>
      </c>
      <c r="J21" s="98"/>
      <c r="K21" s="98"/>
      <c r="L21" s="98"/>
      <c r="M21" s="98"/>
      <c r="N21" s="98"/>
      <c r="O21" s="58">
        <v>0</v>
      </c>
      <c r="P21" s="98"/>
      <c r="Q21" s="98"/>
      <c r="R21" s="98"/>
      <c r="S21" s="98"/>
      <c r="T21" s="98"/>
      <c r="U21" s="93">
        <v>0.4</v>
      </c>
      <c r="V21" s="46"/>
      <c r="W21" s="83"/>
      <c r="X21" s="50" t="s">
        <v>176</v>
      </c>
    </row>
    <row r="22" spans="2:24" ht="14.4" x14ac:dyDescent="0.3">
      <c r="B22" s="82" t="s">
        <v>58</v>
      </c>
      <c r="C22" s="38" t="s">
        <v>101</v>
      </c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3">
        <v>0.35</v>
      </c>
      <c r="V22" s="47"/>
      <c r="W22" s="83"/>
      <c r="X22" s="51" t="s">
        <v>103</v>
      </c>
    </row>
    <row r="23" spans="2:24" ht="14.4" x14ac:dyDescent="0.3">
      <c r="B23" s="82" t="s">
        <v>58</v>
      </c>
      <c r="C23" s="40" t="s">
        <v>102</v>
      </c>
      <c r="D23" s="99"/>
      <c r="E23" s="100"/>
      <c r="F23" s="96"/>
      <c r="G23" s="96"/>
      <c r="H23" s="96"/>
      <c r="I23" s="100">
        <f>1-I21-I22</f>
        <v>1</v>
      </c>
      <c r="J23" s="96"/>
      <c r="K23" s="96"/>
      <c r="L23" s="96"/>
      <c r="M23" s="96"/>
      <c r="N23" s="96"/>
      <c r="O23" s="100">
        <f>1-O21-O22</f>
        <v>1</v>
      </c>
      <c r="P23" s="96"/>
      <c r="Q23" s="96"/>
      <c r="R23" s="96"/>
      <c r="S23" s="96"/>
      <c r="T23" s="96"/>
      <c r="U23" s="109">
        <f>1-U21-U22</f>
        <v>0.25</v>
      </c>
      <c r="V23" s="48"/>
      <c r="W23" s="83"/>
      <c r="X23" s="52" t="s">
        <v>69</v>
      </c>
    </row>
    <row r="24" spans="2:24" ht="14.4" x14ac:dyDescent="0.3">
      <c r="B24" s="82" t="s">
        <v>60</v>
      </c>
      <c r="C24" s="49" t="s">
        <v>175</v>
      </c>
      <c r="D24" s="97"/>
      <c r="E24" s="58"/>
      <c r="F24" s="98"/>
      <c r="G24" s="98"/>
      <c r="H24" s="98"/>
      <c r="I24" s="5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0.55000000000000004</v>
      </c>
      <c r="V24" s="46"/>
      <c r="W24" s="83"/>
      <c r="X24" s="50" t="s">
        <v>176</v>
      </c>
    </row>
    <row r="25" spans="2:24" ht="14.4" x14ac:dyDescent="0.3">
      <c r="B25" s="82" t="s">
        <v>60</v>
      </c>
      <c r="C25" s="38" t="s">
        <v>101</v>
      </c>
      <c r="D25" s="97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3">
        <v>0.25</v>
      </c>
      <c r="V25" s="47"/>
      <c r="W25" s="83"/>
      <c r="X25" s="51" t="s">
        <v>103</v>
      </c>
    </row>
    <row r="26" spans="2:24" ht="14.4" x14ac:dyDescent="0.3">
      <c r="B26" s="82" t="s">
        <v>60</v>
      </c>
      <c r="C26" s="40" t="s">
        <v>102</v>
      </c>
      <c r="D26" s="99"/>
      <c r="E26" s="100"/>
      <c r="F26" s="96"/>
      <c r="G26" s="96"/>
      <c r="H26" s="96"/>
      <c r="I26" s="100">
        <f>1-I24-I25</f>
        <v>1</v>
      </c>
      <c r="J26" s="96"/>
      <c r="K26" s="96"/>
      <c r="L26" s="96"/>
      <c r="M26" s="100">
        <f>1-M24-M25</f>
        <v>1</v>
      </c>
      <c r="N26" s="96"/>
      <c r="O26" s="96"/>
      <c r="P26" s="96"/>
      <c r="Q26" s="96"/>
      <c r="R26" s="96"/>
      <c r="S26" s="96"/>
      <c r="T26" s="96"/>
      <c r="U26" s="109">
        <f>1-U24-U25</f>
        <v>0.19999999999999996</v>
      </c>
      <c r="V26" s="48"/>
      <c r="W26" s="83"/>
      <c r="X26" s="52" t="s">
        <v>69</v>
      </c>
    </row>
    <row r="29" spans="2:24" x14ac:dyDescent="0.25">
      <c r="C29" s="55" t="s">
        <v>107</v>
      </c>
      <c r="D29" s="57" t="s">
        <v>108</v>
      </c>
      <c r="E29" s="56" t="s">
        <v>109</v>
      </c>
    </row>
    <row r="30" spans="2:24" x14ac:dyDescent="0.25">
      <c r="B30" s="20" t="s">
        <v>117</v>
      </c>
      <c r="C30" s="84" t="s">
        <v>110</v>
      </c>
      <c r="D30" s="84" t="s">
        <v>111</v>
      </c>
      <c r="E30" s="85" t="s">
        <v>109</v>
      </c>
    </row>
    <row r="31" spans="2:24" x14ac:dyDescent="0.25">
      <c r="B31" s="37" t="s">
        <v>64</v>
      </c>
      <c r="C31" s="86">
        <v>1</v>
      </c>
      <c r="D31" s="87"/>
      <c r="E31" s="88"/>
    </row>
    <row r="32" spans="2:24" x14ac:dyDescent="0.25">
      <c r="B32" s="37" t="s">
        <v>58</v>
      </c>
      <c r="C32" s="89">
        <v>1</v>
      </c>
      <c r="D32" s="53"/>
      <c r="E32" s="90"/>
    </row>
    <row r="33" spans="2:5" x14ac:dyDescent="0.25">
      <c r="B33" s="37" t="s">
        <v>60</v>
      </c>
      <c r="C33" s="91">
        <v>1</v>
      </c>
      <c r="D33" s="54"/>
      <c r="E33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  <col min="4" max="4" width="5.44140625" customWidth="1"/>
  </cols>
  <sheetData>
    <row r="3" spans="2:10" ht="17.399999999999999" x14ac:dyDescent="0.3">
      <c r="B3" s="67" t="s">
        <v>151</v>
      </c>
    </row>
    <row r="5" spans="2:10" x14ac:dyDescent="0.25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B3" zoomScaleNormal="100" workbookViewId="0">
      <selection activeCell="L27" sqref="L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56"/>
      <c r="F5" s="156"/>
      <c r="G5" s="157"/>
      <c r="H5" s="158"/>
      <c r="J5" s="126" t="s">
        <v>72</v>
      </c>
      <c r="K5" s="126"/>
      <c r="L5" s="126" t="str">
        <f>$B$2&amp;[2]EB2!$D$2</f>
        <v>AGRCOA</v>
      </c>
      <c r="M5" s="127" t="str">
        <f>$C$2&amp;" "&amp;[2]EB2!$D$3</f>
        <v>Agriculture Solid Fuels</v>
      </c>
      <c r="N5" s="126" t="str">
        <f>$E$2</f>
        <v>PJ</v>
      </c>
      <c r="O5" s="126"/>
      <c r="P5" s="126"/>
      <c r="Q5" s="126"/>
      <c r="R5" s="126"/>
    </row>
    <row r="6" spans="2:18" x14ac:dyDescent="0.25">
      <c r="E6" s="156"/>
      <c r="F6" s="156"/>
      <c r="G6" s="157"/>
      <c r="H6" s="158"/>
      <c r="J6" s="126"/>
      <c r="K6" s="126"/>
      <c r="L6" s="126" t="str">
        <f>$B$2&amp;[2]EB2!$E$2</f>
        <v>AGRGAS</v>
      </c>
      <c r="M6" s="127" t="str">
        <f>$C$2&amp;" "&amp;[2]EB2!$E$3</f>
        <v>Agriculture Natural Gas</v>
      </c>
      <c r="N6" s="126" t="str">
        <f>$E$2</f>
        <v>PJ</v>
      </c>
      <c r="O6" s="126"/>
      <c r="P6" s="126"/>
      <c r="Q6" s="126"/>
      <c r="R6" s="126"/>
    </row>
    <row r="7" spans="2:18" x14ac:dyDescent="0.25">
      <c r="E7" s="156"/>
      <c r="F7" s="156"/>
      <c r="G7" s="157"/>
      <c r="H7" s="158"/>
      <c r="J7" s="126"/>
      <c r="K7" s="126"/>
      <c r="L7" s="126" t="str">
        <f>$B$2&amp;[2]EB2!$F$2</f>
        <v>AGROIL</v>
      </c>
      <c r="M7" s="127" t="str">
        <f>$C$2&amp;" "&amp;RIGHT([2]EB2!$F$3,3)</f>
        <v>Agriculture oil</v>
      </c>
      <c r="N7" s="126" t="str">
        <f>$E$2</f>
        <v>PJ</v>
      </c>
      <c r="O7" s="126"/>
      <c r="P7" s="126"/>
      <c r="Q7" s="126"/>
      <c r="R7" s="126"/>
    </row>
    <row r="8" spans="2:18" x14ac:dyDescent="0.25">
      <c r="E8" s="156"/>
      <c r="F8" s="156"/>
      <c r="G8" s="157"/>
      <c r="H8" s="158"/>
      <c r="J8" s="126"/>
      <c r="K8" s="126"/>
      <c r="L8" s="126" t="str">
        <f>$B$2&amp;[2]EB2!$O$2</f>
        <v>AGRBIO</v>
      </c>
      <c r="M8" s="127" t="str">
        <f>$C$2&amp;" "&amp;[2]EB2!$O$3</f>
        <v>Agriculture Biomass</v>
      </c>
      <c r="N8" s="126" t="str">
        <f>$E$2</f>
        <v>PJ</v>
      </c>
      <c r="O8" s="126"/>
      <c r="P8" s="126"/>
      <c r="Q8" s="126"/>
      <c r="R8" s="126"/>
    </row>
    <row r="9" spans="2:18" x14ac:dyDescent="0.25">
      <c r="E9" s="156"/>
      <c r="F9" s="156"/>
      <c r="G9" s="157"/>
      <c r="H9" s="158"/>
      <c r="J9" s="126"/>
      <c r="K9" s="126"/>
      <c r="L9" s="126" t="str">
        <f>$B$2&amp;[2]EB2!$U$2</f>
        <v>AGRELC</v>
      </c>
      <c r="M9" s="127" t="str">
        <f>$C$2&amp;" "&amp;[2]EB2!$U$3</f>
        <v>Agriculture Electricity</v>
      </c>
      <c r="N9" s="126" t="str">
        <f>$E$2</f>
        <v>PJ</v>
      </c>
      <c r="O9" s="126"/>
      <c r="P9" s="126" t="s">
        <v>124</v>
      </c>
      <c r="Q9" s="126"/>
      <c r="R9" s="126" t="s">
        <v>50</v>
      </c>
    </row>
    <row r="10" spans="2:18" x14ac:dyDescent="0.25">
      <c r="E10" s="156"/>
      <c r="F10" s="156"/>
      <c r="G10" s="157"/>
      <c r="H10" s="158"/>
      <c r="M10" s="19"/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5">
      <c r="B16" t="str">
        <f>L16</f>
        <v>FTE-AGRCOA</v>
      </c>
      <c r="C16" t="str">
        <f>RIGHT(D16,3)</f>
        <v>COA</v>
      </c>
      <c r="D16" t="str">
        <f>L5</f>
        <v>AGRCOA</v>
      </c>
      <c r="E16" s="156"/>
      <c r="G16" s="159">
        <v>1</v>
      </c>
      <c r="H16" s="160">
        <v>30</v>
      </c>
      <c r="J16" s="155" t="s">
        <v>113</v>
      </c>
      <c r="K16" s="126"/>
      <c r="L16" s="126" t="str">
        <f>"FT"&amp;$G$2&amp;"-"&amp;L5</f>
        <v>FTE-AGRCOA</v>
      </c>
      <c r="M16" s="127" t="str">
        <f>$D$2&amp;" Technology"&amp;" "&amp;$G$1&amp;" "&amp;M5</f>
        <v>Sector Fuel Technology Existing Agriculture Solid Fuels</v>
      </c>
      <c r="N16" s="126" t="str">
        <f>$E$2</f>
        <v>PJ</v>
      </c>
      <c r="O16" s="126" t="str">
        <f>$E$2&amp;"a"</f>
        <v>PJa</v>
      </c>
      <c r="P16" s="126"/>
      <c r="Q16" s="126"/>
      <c r="R16" s="126"/>
    </row>
    <row r="17" spans="2:18" x14ac:dyDescent="0.25">
      <c r="B17" t="str">
        <f>L17</f>
        <v>FTE-AGRGAS</v>
      </c>
      <c r="C17" t="str">
        <f>RIGHT(D17,3)</f>
        <v>GAS</v>
      </c>
      <c r="D17" t="str">
        <f>L6</f>
        <v>AGRGAS</v>
      </c>
      <c r="E17" s="156"/>
      <c r="G17" s="159">
        <v>1</v>
      </c>
      <c r="H17" s="160">
        <v>30</v>
      </c>
      <c r="J17" s="126"/>
      <c r="K17" s="126"/>
      <c r="L17" s="126" t="str">
        <f>"FT"&amp;$G$2&amp;"-"&amp;L6</f>
        <v>FTE-AGRGAS</v>
      </c>
      <c r="M17" s="127" t="str">
        <f>$D$2&amp;" Technology"&amp;" "&amp;$G$1&amp;" "&amp;M6</f>
        <v>Sector Fuel Technology Existing Agriculture Natural Gas</v>
      </c>
      <c r="N17" s="126" t="str">
        <f>$E$2</f>
        <v>PJ</v>
      </c>
      <c r="O17" s="126" t="str">
        <f>$E$2&amp;"a"</f>
        <v>PJa</v>
      </c>
      <c r="P17" s="126"/>
      <c r="Q17" s="126"/>
      <c r="R17" s="126"/>
    </row>
    <row r="18" spans="2:18" x14ac:dyDescent="0.25">
      <c r="B18" t="str">
        <f>L18</f>
        <v>FTE-AGROIL</v>
      </c>
      <c r="C18" t="str">
        <f>[2]EB2!$G$2</f>
        <v>DSL</v>
      </c>
      <c r="D18" t="str">
        <f>L7</f>
        <v>AGROIL</v>
      </c>
      <c r="E18" s="156"/>
      <c r="G18" s="159">
        <v>1</v>
      </c>
      <c r="H18" s="160">
        <v>30</v>
      </c>
      <c r="J18" s="126"/>
      <c r="K18" s="126"/>
      <c r="L18" s="126" t="str">
        <f>"FT"&amp;$G$2&amp;"-"&amp;L7</f>
        <v>FTE-AGROIL</v>
      </c>
      <c r="M18" s="127" t="str">
        <f>$D$2&amp;" Technology"&amp;" "&amp;$G$1&amp;" "&amp;M7</f>
        <v>Sector Fuel Technology Existing Agriculture oil</v>
      </c>
      <c r="N18" s="126" t="str">
        <f>$E$2</f>
        <v>PJ</v>
      </c>
      <c r="O18" s="126" t="str">
        <f>$E$2&amp;"a"</f>
        <v>PJa</v>
      </c>
      <c r="P18" s="126"/>
      <c r="Q18" s="126"/>
      <c r="R18" s="126"/>
    </row>
    <row r="19" spans="2:18" x14ac:dyDescent="0.25">
      <c r="C19" t="str">
        <f>[2]EB2!$H$2</f>
        <v>KER</v>
      </c>
      <c r="E19" s="156"/>
      <c r="G19" s="157"/>
      <c r="H19" s="158"/>
      <c r="J19" s="126"/>
      <c r="K19" s="126"/>
      <c r="L19" s="126" t="str">
        <f>"FT"&amp;$G$2&amp;"-"&amp;L8</f>
        <v>FTE-AGRBIO</v>
      </c>
      <c r="M19" s="127" t="str">
        <f>$D$2&amp;" Technology"&amp;" "&amp;$G$1&amp;" "&amp;M8</f>
        <v>Sector Fuel Technology Existing Agriculture Biomass</v>
      </c>
      <c r="N19" s="126" t="str">
        <f>$E$2</f>
        <v>PJ</v>
      </c>
      <c r="O19" s="126" t="str">
        <f>$E$2&amp;"a"</f>
        <v>PJa</v>
      </c>
      <c r="P19" s="126"/>
      <c r="Q19" s="126"/>
      <c r="R19" s="126"/>
    </row>
    <row r="20" spans="2:18" x14ac:dyDescent="0.25">
      <c r="C20" t="str">
        <f>[2]EB2!$I$2</f>
        <v>LPG</v>
      </c>
      <c r="E20" s="156"/>
      <c r="G20" s="157"/>
      <c r="H20" s="158"/>
      <c r="J20" s="126"/>
      <c r="K20" s="126"/>
      <c r="L20" s="126" t="str">
        <f>"FT"&amp;$G$2&amp;"-"&amp;L9</f>
        <v>FTE-AGRELC</v>
      </c>
      <c r="M20" s="127" t="str">
        <f>$D$2&amp;" Technology"&amp;" "&amp;$G$1&amp;" "&amp;M9</f>
        <v>Sector Fuel Technology Existing Agriculture Electricity</v>
      </c>
      <c r="N20" s="126" t="str">
        <f>$E$2</f>
        <v>PJ</v>
      </c>
      <c r="O20" s="126" t="str">
        <f>$E$2&amp;"a"</f>
        <v>PJa</v>
      </c>
      <c r="P20" s="126" t="s">
        <v>124</v>
      </c>
      <c r="Q20" s="126"/>
      <c r="R20" s="126"/>
    </row>
    <row r="21" spans="2:18" x14ac:dyDescent="0.25">
      <c r="C21" t="str">
        <f>[2]EB2!$J$2</f>
        <v>GSL</v>
      </c>
      <c r="E21" s="156"/>
      <c r="G21" s="157"/>
      <c r="H21" s="158"/>
      <c r="M21" s="19"/>
    </row>
    <row r="22" spans="2:18" x14ac:dyDescent="0.25">
      <c r="C22" t="str">
        <f>[2]EB2!$L$2</f>
        <v>HFO</v>
      </c>
      <c r="E22" s="156"/>
      <c r="G22" s="157"/>
      <c r="H22" s="158"/>
      <c r="M22" s="19"/>
    </row>
    <row r="23" spans="2:18" x14ac:dyDescent="0.25">
      <c r="C23" t="str">
        <f>[2]EB2!$M$2</f>
        <v>OPP</v>
      </c>
      <c r="E23" s="156"/>
      <c r="G23" s="157"/>
      <c r="H23" s="158"/>
      <c r="M23" s="19"/>
    </row>
    <row r="24" spans="2:18" x14ac:dyDescent="0.25">
      <c r="B24" t="str">
        <f>L19</f>
        <v>FTE-AGRBIO</v>
      </c>
      <c r="C24" t="str">
        <f>RIGHT(D24,3)</f>
        <v>BIO</v>
      </c>
      <c r="D24" t="str">
        <f>L8</f>
        <v>AGRBIO</v>
      </c>
      <c r="E24" s="156"/>
      <c r="G24" s="159">
        <v>1</v>
      </c>
      <c r="H24" s="160">
        <v>30</v>
      </c>
      <c r="J24" s="23"/>
      <c r="K24" s="23"/>
      <c r="M24" s="19"/>
    </row>
    <row r="25" spans="2:18" x14ac:dyDescent="0.25">
      <c r="B25" t="str">
        <f>L20</f>
        <v>FTE-AGRELC</v>
      </c>
      <c r="C25" t="str">
        <f>RIGHT(D25,3)</f>
        <v>ELC</v>
      </c>
      <c r="D25" t="str">
        <f>L9</f>
        <v>AGRELC</v>
      </c>
      <c r="E25" s="156"/>
      <c r="G25" s="159">
        <v>1</v>
      </c>
      <c r="H25" s="160">
        <v>30</v>
      </c>
      <c r="J25" s="23"/>
      <c r="K25" s="23"/>
      <c r="M25" s="19"/>
    </row>
    <row r="26" spans="2:18" x14ac:dyDescent="0.25">
      <c r="E26" s="11"/>
      <c r="F26" s="11"/>
      <c r="G26" s="66"/>
      <c r="H26" s="10"/>
      <c r="J26" s="23"/>
      <c r="K26" s="23"/>
      <c r="M26" s="19"/>
    </row>
    <row r="27" spans="2:18" x14ac:dyDescent="0.25">
      <c r="E27" s="11"/>
      <c r="F27" s="11"/>
      <c r="G27" s="66"/>
      <c r="H27" s="10"/>
      <c r="M27" s="19"/>
    </row>
    <row r="28" spans="2:18" x14ac:dyDescent="0.25">
      <c r="E28" s="11"/>
      <c r="F28" s="11"/>
      <c r="G28" s="66"/>
      <c r="H28" s="10"/>
    </row>
    <row r="29" spans="2:18" x14ac:dyDescent="0.25">
      <c r="B29" s="23"/>
      <c r="D29" s="23"/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95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11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40" spans="2:8" x14ac:dyDescent="0.25">
      <c r="B40" s="39"/>
      <c r="C40" s="1" t="s">
        <v>149</v>
      </c>
    </row>
    <row r="41" spans="2:8" x14ac:dyDescent="0.25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1"/>
  <sheetViews>
    <sheetView topLeftCell="A5" zoomScale="115" zoomScaleNormal="115" workbookViewId="0">
      <selection activeCell="K14" sqref="K14"/>
    </sheetView>
  </sheetViews>
  <sheetFormatPr defaultRowHeight="13.2" x14ac:dyDescent="0.25"/>
  <cols>
    <col min="1" max="1" width="3" customWidth="1"/>
    <col min="2" max="2" width="12.6640625" bestFit="1" customWidth="1"/>
    <col min="3" max="3" width="26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6.109375" bestFit="1" customWidth="1"/>
    <col min="8" max="8" width="13.109375" bestFit="1" customWidth="1"/>
    <col min="9" max="9" width="13.109375" customWidth="1"/>
    <col min="10" max="10" width="12.33203125" bestFit="1" customWidth="1"/>
    <col min="11" max="11" width="12.33203125" customWidth="1"/>
    <col min="12" max="12" width="5.5546875" customWidth="1"/>
    <col min="13" max="13" width="8.109375" customWidth="1"/>
    <col min="14" max="14" width="8.88671875" customWidth="1"/>
    <col min="15" max="15" width="12.6640625" bestFit="1" customWidth="1"/>
    <col min="16" max="16" width="57.33203125" bestFit="1" customWidth="1"/>
    <col min="17" max="17" width="16.109375" bestFit="1" customWidth="1"/>
    <col min="18" max="18" width="77.5546875" bestFit="1" customWidth="1"/>
    <col min="19" max="19" width="16.33203125" customWidth="1"/>
    <col min="20" max="20" width="11.6640625" customWidth="1"/>
    <col min="21" max="21" width="13.44140625" customWidth="1"/>
    <col min="22" max="22" width="13.88671875" customWidth="1"/>
    <col min="23" max="23" width="8.44140625" customWidth="1"/>
  </cols>
  <sheetData>
    <row r="1" spans="2:23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  <c r="K1" s="7"/>
    </row>
    <row r="2" spans="2:23" ht="31.2" x14ac:dyDescent="0.3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K2" s="9"/>
      <c r="O2" s="121" t="s">
        <v>14</v>
      </c>
      <c r="P2" s="121"/>
      <c r="Q2" s="122"/>
      <c r="R2" s="122"/>
      <c r="S2" s="122"/>
      <c r="T2" s="122"/>
      <c r="U2" s="122"/>
      <c r="V2" s="122"/>
      <c r="W2" s="122"/>
    </row>
    <row r="3" spans="2:23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2"/>
      <c r="T3" s="122"/>
      <c r="U3" s="122"/>
      <c r="V3" s="122"/>
      <c r="W3" s="122"/>
    </row>
    <row r="4" spans="2:23" ht="42.6" thickBot="1" x14ac:dyDescent="0.35">
      <c r="B4" s="8"/>
      <c r="C4" s="8"/>
      <c r="D4" s="8"/>
      <c r="E4" s="8"/>
      <c r="F4" s="8"/>
      <c r="G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2"/>
      <c r="T4" s="122"/>
      <c r="U4" s="122"/>
      <c r="V4" s="122"/>
      <c r="W4" s="122"/>
    </row>
    <row r="5" spans="2:23" ht="15.6" x14ac:dyDescent="0.3">
      <c r="B5" s="8"/>
      <c r="C5" s="8"/>
      <c r="D5" s="8"/>
      <c r="E5" s="8"/>
      <c r="F5" s="8"/>
      <c r="G5" s="8"/>
      <c r="M5" s="155" t="s">
        <v>83</v>
      </c>
      <c r="N5" s="126"/>
      <c r="O5" s="155" t="str">
        <f>LEFT($M$5,1)&amp;LEFT($B$2,1)&amp;[2]EB2!$C$20</f>
        <v>DAOT</v>
      </c>
      <c r="P5" s="155" t="str">
        <f>LEFT($D$2,6)&amp;" "&amp;$C$2&amp; " Sector - "&amp;[2]EB2!$X$20</f>
        <v>Demand Agriculture Sector - Demand</v>
      </c>
      <c r="Q5" s="155" t="str">
        <f>$E$2</f>
        <v>PJ</v>
      </c>
      <c r="R5" s="155"/>
      <c r="S5" s="122"/>
      <c r="T5" s="122"/>
      <c r="U5" s="122"/>
      <c r="V5" s="122"/>
      <c r="W5" s="122"/>
    </row>
    <row r="6" spans="2:23" x14ac:dyDescent="0.25">
      <c r="M6" s="126" t="s">
        <v>106</v>
      </c>
      <c r="N6" s="126"/>
      <c r="O6" s="126" t="str">
        <f>$B$2&amp;[2]EB2!$C$29</f>
        <v>AGRCO2</v>
      </c>
      <c r="P6" s="126" t="str">
        <f>$C$2&amp;" "&amp;[2]EB2!$C$30</f>
        <v>Agriculture Carbon dioxide</v>
      </c>
      <c r="Q6" s="126" t="str">
        <f>[2]EB2!$AA$2</f>
        <v>kt</v>
      </c>
      <c r="R6" s="126"/>
      <c r="S6" s="122"/>
      <c r="T6" s="122"/>
      <c r="U6" s="122"/>
      <c r="V6" s="122"/>
      <c r="W6" s="122"/>
    </row>
    <row r="7" spans="2:23" ht="14.4" x14ac:dyDescent="0.3">
      <c r="G7" s="161" t="s">
        <v>180</v>
      </c>
      <c r="S7" s="122"/>
      <c r="T7" s="122"/>
      <c r="U7" s="122"/>
      <c r="V7" s="122"/>
      <c r="W7" s="122"/>
    </row>
    <row r="8" spans="2:23" ht="14.4" x14ac:dyDescent="0.3">
      <c r="D8" s="4" t="s">
        <v>13</v>
      </c>
      <c r="E8" s="4"/>
      <c r="G8" s="162">
        <v>0.2</v>
      </c>
      <c r="H8" s="4"/>
      <c r="I8" s="4"/>
      <c r="J8" s="13"/>
      <c r="K8" s="13"/>
      <c r="M8" s="121" t="s">
        <v>15</v>
      </c>
      <c r="N8" s="121"/>
      <c r="O8" s="126"/>
      <c r="P8" s="126"/>
      <c r="Q8" s="126"/>
      <c r="R8" s="126"/>
      <c r="S8" s="122"/>
      <c r="T8" s="122"/>
      <c r="U8" s="122"/>
      <c r="V8" s="122"/>
      <c r="W8" s="126"/>
    </row>
    <row r="9" spans="2:23" x14ac:dyDescent="0.25">
      <c r="B9" s="17" t="s">
        <v>1</v>
      </c>
      <c r="C9" s="17" t="s">
        <v>5</v>
      </c>
      <c r="D9" s="17" t="s">
        <v>6</v>
      </c>
      <c r="E9" s="69" t="s">
        <v>126</v>
      </c>
      <c r="F9" s="72" t="s">
        <v>146</v>
      </c>
      <c r="G9" s="72" t="s">
        <v>181</v>
      </c>
      <c r="H9" s="69" t="s">
        <v>84</v>
      </c>
      <c r="I9" s="69" t="s">
        <v>96</v>
      </c>
      <c r="J9" s="69" t="s">
        <v>79</v>
      </c>
      <c r="K9" s="94" t="s">
        <v>35</v>
      </c>
      <c r="M9" s="123" t="s">
        <v>11</v>
      </c>
      <c r="N9" s="124" t="s">
        <v>30</v>
      </c>
      <c r="O9" s="123" t="s">
        <v>1</v>
      </c>
      <c r="P9" s="123" t="s">
        <v>2</v>
      </c>
      <c r="Q9" s="123" t="s">
        <v>16</v>
      </c>
      <c r="R9" s="123" t="s">
        <v>17</v>
      </c>
      <c r="S9" s="122"/>
      <c r="T9" s="122"/>
      <c r="U9" s="122"/>
      <c r="V9" s="122"/>
    </row>
    <row r="10" spans="2:23" ht="42" thickBot="1" x14ac:dyDescent="0.3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145</v>
      </c>
      <c r="G10" s="15" t="s">
        <v>145</v>
      </c>
      <c r="H10" s="15" t="s">
        <v>89</v>
      </c>
      <c r="I10" s="81" t="s">
        <v>97</v>
      </c>
      <c r="J10" s="15" t="s">
        <v>182</v>
      </c>
      <c r="K10" s="94" t="s">
        <v>154</v>
      </c>
      <c r="M10" s="125" t="s">
        <v>38</v>
      </c>
      <c r="N10" s="125" t="s">
        <v>31</v>
      </c>
      <c r="O10" s="125" t="s">
        <v>21</v>
      </c>
      <c r="P10" s="125" t="s">
        <v>22</v>
      </c>
      <c r="Q10" s="125" t="s">
        <v>23</v>
      </c>
      <c r="R10" s="125" t="s">
        <v>24</v>
      </c>
      <c r="S10" s="122"/>
      <c r="T10" s="122"/>
      <c r="U10" s="122"/>
      <c r="V10" s="122"/>
      <c r="W10" s="126"/>
    </row>
    <row r="11" spans="2:23" ht="13.8" thickBot="1" x14ac:dyDescent="0.3">
      <c r="B11" s="14" t="s">
        <v>90</v>
      </c>
      <c r="C11" s="14"/>
      <c r="D11" s="14"/>
      <c r="E11" s="12" t="s">
        <v>119</v>
      </c>
      <c r="F11" s="12"/>
      <c r="G11" s="12"/>
      <c r="H11" s="12"/>
      <c r="I11" s="71"/>
      <c r="J11" s="12" t="s">
        <v>91</v>
      </c>
      <c r="K11" s="12"/>
      <c r="M11" s="125" t="s">
        <v>81</v>
      </c>
      <c r="N11" s="125"/>
      <c r="O11" s="125"/>
      <c r="P11" s="125"/>
      <c r="Q11" s="125"/>
      <c r="R11" s="125"/>
      <c r="S11" s="122"/>
      <c r="T11" s="122"/>
      <c r="U11" s="122"/>
      <c r="V11" s="122"/>
      <c r="W11" s="126"/>
    </row>
    <row r="12" spans="2:23" x14ac:dyDescent="0.25">
      <c r="B12" t="str">
        <f>O12</f>
        <v>AOTETOT</v>
      </c>
      <c r="C12" t="str">
        <f>[2]Sector_Fuels_AGR!L5</f>
        <v>AGRCOA</v>
      </c>
      <c r="D12" t="str">
        <f>$O$5</f>
        <v>DAOT</v>
      </c>
      <c r="E12" s="6"/>
      <c r="F12" s="163">
        <f>'EB1'!D8/('EB1'!$D$8+'EB1'!$E$8+SUM('EB1'!$G$8:$J$8,'EB1'!$M$8,'EB1'!$L$8)+'EB1'!$O$8+'EB1'!$U$8)</f>
        <v>0</v>
      </c>
      <c r="G12" s="164">
        <v>0</v>
      </c>
      <c r="H12" s="64">
        <v>1</v>
      </c>
      <c r="I12" s="64">
        <v>1</v>
      </c>
      <c r="J12" s="39">
        <v>20</v>
      </c>
      <c r="K12" s="39"/>
      <c r="M12" s="155" t="s">
        <v>95</v>
      </c>
      <c r="N12" s="126"/>
      <c r="O12" s="126" t="str">
        <f>LEFT($B$2)&amp;[2]EB2!$C$20&amp;$J$2&amp;[2]EB2!$V$2</f>
        <v>AOTETOT</v>
      </c>
      <c r="P12" s="126" t="str">
        <f>$D$2&amp;" "&amp;$C$2&amp; " Sector - "&amp;""&amp;$J$1&amp;" "&amp;[2]EB2!$X$20&amp;" - "&amp;[2]EB2!$V$2</f>
        <v>Demand Technologies Agriculture Sector - Existing Demand - TOT</v>
      </c>
      <c r="Q12" s="126" t="str">
        <f>$E$2</f>
        <v>PJ</v>
      </c>
      <c r="R12" s="126" t="str">
        <f>$E$2&amp;"a"</f>
        <v>PJa</v>
      </c>
      <c r="S12" s="122"/>
      <c r="T12" s="122"/>
      <c r="U12" s="122"/>
      <c r="V12" s="122"/>
      <c r="W12" s="126"/>
    </row>
    <row r="13" spans="2:23" x14ac:dyDescent="0.25">
      <c r="B13" t="s">
        <v>183</v>
      </c>
      <c r="C13" t="str">
        <f>[2]Sector_Fuels_AGR!L6</f>
        <v>AGRGAS</v>
      </c>
      <c r="D13" t="str">
        <f t="shared" ref="D13:D16" si="0">$O$5</f>
        <v>DAOT</v>
      </c>
      <c r="E13" s="6"/>
      <c r="F13" s="163">
        <f>'EB1'!E8/('EB1'!$D$8+'EB1'!$E$8+SUM('EB1'!$G$8:$J$8,'EB1'!$M$8,'EB1'!$L$8)+'EB1'!$O$8+'EB1'!$U$8)</f>
        <v>0</v>
      </c>
      <c r="G13" s="164">
        <v>0</v>
      </c>
      <c r="H13" s="64">
        <v>1</v>
      </c>
      <c r="I13" s="64">
        <v>1</v>
      </c>
      <c r="J13" s="39">
        <v>20</v>
      </c>
      <c r="K13" s="39"/>
      <c r="S13" s="122"/>
      <c r="T13" s="122"/>
      <c r="U13" s="122"/>
      <c r="V13" s="122"/>
      <c r="W13" s="126"/>
    </row>
    <row r="14" spans="2:23" x14ac:dyDescent="0.25">
      <c r="B14" t="s">
        <v>183</v>
      </c>
      <c r="C14" t="str">
        <f>[2]Sector_Fuels_AGR!L7</f>
        <v>AGROIL</v>
      </c>
      <c r="D14" t="str">
        <f t="shared" si="0"/>
        <v>DAOT</v>
      </c>
      <c r="E14" s="6"/>
      <c r="F14" s="163">
        <f>SUM('EB1'!G8:J8,'EB1'!L8:M8)/('EB1'!$D$8+'EB1'!$E$8+SUM('EB1'!$G$8:$J$8,'EB1'!$M$8,'EB1'!$L$8)+'EB1'!$O$8+'EB1'!$U$8)</f>
        <v>1</v>
      </c>
      <c r="G14" s="164">
        <f>IF(F14=0,20%,F14*(1+$G$8))</f>
        <v>1.2</v>
      </c>
      <c r="H14" s="64">
        <v>1</v>
      </c>
      <c r="I14" s="64">
        <v>1</v>
      </c>
      <c r="J14" s="39">
        <v>20</v>
      </c>
      <c r="K14" s="39">
        <v>8.9932882680000006</v>
      </c>
      <c r="P14" s="19"/>
      <c r="V14" s="126"/>
      <c r="W14" s="126"/>
    </row>
    <row r="15" spans="2:23" x14ac:dyDescent="0.25">
      <c r="B15" t="s">
        <v>183</v>
      </c>
      <c r="C15" t="str">
        <f>[2]Sector_Fuels_AGR!L8</f>
        <v>AGRBIO</v>
      </c>
      <c r="D15" t="str">
        <f t="shared" si="0"/>
        <v>DAOT</v>
      </c>
      <c r="E15" s="6"/>
      <c r="F15" s="163">
        <f>'EB1'!O8/('EB1'!$D$8+'EB1'!$E$8+SUM('EB1'!$G$8:$J$8,'EB1'!$M$8,'EB1'!$L$8)+'EB1'!$O$8+'EB1'!$U$8)</f>
        <v>0</v>
      </c>
      <c r="G15" s="164">
        <v>0</v>
      </c>
      <c r="H15" s="64">
        <v>1</v>
      </c>
      <c r="I15" s="64">
        <v>1</v>
      </c>
      <c r="J15" s="39">
        <v>20</v>
      </c>
      <c r="K15" s="39"/>
      <c r="P15" s="19"/>
      <c r="V15" s="126"/>
      <c r="W15" s="126"/>
    </row>
    <row r="16" spans="2:23" x14ac:dyDescent="0.25">
      <c r="B16" t="s">
        <v>183</v>
      </c>
      <c r="C16" t="str">
        <f>[2]Sector_Fuels_AGR!L9</f>
        <v>AGRELC</v>
      </c>
      <c r="D16" t="str">
        <f t="shared" si="0"/>
        <v>DAOT</v>
      </c>
      <c r="E16" s="6"/>
      <c r="F16" s="163">
        <f>'EB1'!U8/('EB1'!$D$8+'EB1'!$E$8+SUM('EB1'!$G$8:$J$8,'EB1'!$M$8,'EB1'!$L$8)+'EB1'!$O$8+'EB1'!$U$8)</f>
        <v>0</v>
      </c>
      <c r="G16" s="164">
        <v>0</v>
      </c>
      <c r="H16" s="64">
        <v>1</v>
      </c>
      <c r="I16" s="64">
        <v>1</v>
      </c>
      <c r="J16" s="39">
        <v>20</v>
      </c>
      <c r="K16" s="39"/>
      <c r="P16" s="19"/>
      <c r="V16" s="126"/>
      <c r="W16" s="126"/>
    </row>
    <row r="17" spans="2:18" x14ac:dyDescent="0.25">
      <c r="J17" s="16"/>
      <c r="K17" s="16"/>
      <c r="L17" s="16"/>
      <c r="R17" s="19"/>
    </row>
    <row r="18" spans="2:18" x14ac:dyDescent="0.25">
      <c r="J18" s="16"/>
      <c r="K18" s="16"/>
      <c r="L18" s="16"/>
      <c r="R18" s="19"/>
    </row>
    <row r="19" spans="2:18" x14ac:dyDescent="0.25">
      <c r="F19" s="95"/>
      <c r="G19" s="95"/>
    </row>
    <row r="20" spans="2:18" x14ac:dyDescent="0.25">
      <c r="F20" s="110"/>
      <c r="G20" s="110"/>
    </row>
    <row r="23" spans="2:18" x14ac:dyDescent="0.25">
      <c r="H23" s="6"/>
      <c r="I23" s="6"/>
    </row>
    <row r="26" spans="2:18" x14ac:dyDescent="0.25">
      <c r="B26" s="39"/>
      <c r="C26" s="1" t="s">
        <v>149</v>
      </c>
    </row>
    <row r="27" spans="2:18" x14ac:dyDescent="0.25">
      <c r="B27" s="61"/>
      <c r="C27" s="1" t="s">
        <v>150</v>
      </c>
    </row>
    <row r="28" spans="2:18" x14ac:dyDescent="0.25">
      <c r="F28" s="11"/>
      <c r="G28" s="11"/>
      <c r="N28" s="1"/>
    </row>
    <row r="29" spans="2:18" x14ac:dyDescent="0.25">
      <c r="F29" s="11"/>
      <c r="G29" s="11"/>
      <c r="N29" s="1"/>
    </row>
    <row r="30" spans="2:18" x14ac:dyDescent="0.25">
      <c r="F30" s="11"/>
      <c r="G30" s="11"/>
      <c r="N30" s="1"/>
    </row>
    <row r="31" spans="2:18" x14ac:dyDescent="0.25">
      <c r="N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E22" sqref="E22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1"/>
      <c r="F5" s="11"/>
      <c r="G5" s="66"/>
      <c r="H5" s="10"/>
      <c r="J5" s="126" t="s">
        <v>72</v>
      </c>
      <c r="K5" s="126"/>
      <c r="L5" s="126" t="str">
        <f>$B$2&amp;'EB1'!$D$2</f>
        <v>COMCOA</v>
      </c>
      <c r="M5" s="127" t="str">
        <f>$C$2&amp;" "&amp;'EB1'!$D$3</f>
        <v>Commercial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5">
      <c r="E6" s="11"/>
      <c r="F6" s="11"/>
      <c r="G6" s="66"/>
      <c r="H6" s="10"/>
      <c r="J6" s="126"/>
      <c r="K6" s="126"/>
      <c r="L6" s="126" t="str">
        <f>$B$2&amp;'EB1'!$E$2</f>
        <v>COMGAS</v>
      </c>
      <c r="M6" s="127" t="str">
        <f>$C$2&amp;" "&amp;'EB1'!$E$3</f>
        <v>Commercial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5">
      <c r="E7" s="11"/>
      <c r="F7" s="11"/>
      <c r="G7" s="66"/>
      <c r="H7" s="10"/>
      <c r="J7" s="126"/>
      <c r="K7" s="126"/>
      <c r="L7" s="126" t="str">
        <f>$B$2&amp;'EB1'!$F$2</f>
        <v>COMOIL</v>
      </c>
      <c r="M7" s="127" t="str">
        <f>$C$2&amp;" "&amp;RIGHT('EB1'!$F$3,3)</f>
        <v>Commercial Oil</v>
      </c>
      <c r="N7" s="126" t="str">
        <f t="shared" si="0"/>
        <v>PJ</v>
      </c>
      <c r="O7" s="126"/>
      <c r="P7" s="126"/>
      <c r="Q7" s="126"/>
      <c r="R7" s="126"/>
    </row>
    <row r="8" spans="2:18" x14ac:dyDescent="0.25">
      <c r="E8" s="11"/>
      <c r="F8" s="11"/>
      <c r="G8" s="66"/>
      <c r="H8" s="10"/>
      <c r="J8" s="126"/>
      <c r="K8" s="126"/>
      <c r="L8" s="126" t="str">
        <f>$B$2&amp;'EB1'!$O$2</f>
        <v>COMBIO</v>
      </c>
      <c r="M8" s="127" t="str">
        <f>$C$2&amp;" "&amp;'EB1'!$O$3</f>
        <v>Commercial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5">
      <c r="E9" s="11"/>
      <c r="F9" s="11"/>
      <c r="G9" s="66"/>
      <c r="H9" s="10"/>
      <c r="J9" s="126"/>
      <c r="K9" s="126"/>
      <c r="L9" s="126" t="str">
        <f>$B$2&amp;'EB1'!$R$2</f>
        <v>COMSOL</v>
      </c>
      <c r="M9" s="127" t="str">
        <f>$C$2&amp;" "&amp;'EB1'!$R$3</f>
        <v>Commercial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5">
      <c r="E10" s="11"/>
      <c r="F10" s="11"/>
      <c r="G10" s="66"/>
      <c r="H10" s="10"/>
      <c r="J10" s="126"/>
      <c r="K10" s="126"/>
      <c r="L10" s="126" t="str">
        <f>$B$2&amp;'EB1'!$U$2</f>
        <v>COMELC</v>
      </c>
      <c r="M10" s="127" t="str">
        <f>$C$2&amp;" "&amp;'EB1'!$U$3</f>
        <v>Commercial Electricity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5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2" t="s">
        <v>113</v>
      </c>
      <c r="K16" s="126"/>
      <c r="L16" s="126" t="str">
        <f t="shared" ref="L16:L21" si="1">"FT"&amp;$G$2&amp;"-"&amp;L5</f>
        <v>FTE-COMCOA</v>
      </c>
      <c r="M16" s="127" t="str">
        <f t="shared" ref="M16:M21" si="2">$D$2&amp;" Technology"&amp;" "&amp;$G$1&amp;" "&amp;M5</f>
        <v>Sector Fuel Technology Existing Commercial Solid Fuels</v>
      </c>
      <c r="N16" s="126" t="str">
        <f t="shared" ref="N16:N21" si="3">$E$2</f>
        <v>PJ</v>
      </c>
      <c r="O16" s="126" t="str">
        <f t="shared" ref="O16:O21" si="4">$E$2&amp;"a"</f>
        <v>PJa</v>
      </c>
      <c r="P16" s="126"/>
      <c r="Q16" s="126"/>
      <c r="R16" s="126"/>
    </row>
    <row r="17" spans="2:18" x14ac:dyDescent="0.25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6"/>
      <c r="K17" s="126"/>
      <c r="L17" s="126" t="str">
        <f t="shared" si="1"/>
        <v>FTE-COMGAS</v>
      </c>
      <c r="M17" s="127" t="str">
        <f t="shared" si="2"/>
        <v>Sector Fuel Technology Existing Commercial Natural Gas</v>
      </c>
      <c r="N17" s="126" t="str">
        <f t="shared" si="3"/>
        <v>PJ</v>
      </c>
      <c r="O17" s="126" t="str">
        <f t="shared" si="4"/>
        <v>PJa</v>
      </c>
      <c r="P17" s="126"/>
      <c r="Q17" s="126"/>
      <c r="R17" s="126"/>
    </row>
    <row r="18" spans="2:18" x14ac:dyDescent="0.25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6"/>
      <c r="K18" s="126"/>
      <c r="L18" s="126" t="str">
        <f t="shared" si="1"/>
        <v>FTE-COMOIL</v>
      </c>
      <c r="M18" s="127" t="str">
        <f t="shared" si="2"/>
        <v>Sector Fuel Technology Existing Commercial Oil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5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6"/>
      <c r="K19" s="126"/>
      <c r="L19" s="126" t="str">
        <f t="shared" si="1"/>
        <v>FTE-COMBIO</v>
      </c>
      <c r="M19" s="127" t="str">
        <f t="shared" si="2"/>
        <v>Sector Fuel Technology Existing Commercial Biomass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5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6"/>
      <c r="K20" s="126"/>
      <c r="L20" s="126" t="str">
        <f t="shared" si="1"/>
        <v>FTE-COMSOL</v>
      </c>
      <c r="M20" s="127" t="str">
        <f t="shared" si="2"/>
        <v>Sector Fuel Technology Existing Commercial Solar energy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5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6"/>
      <c r="K21" s="126"/>
      <c r="L21" s="126" t="str">
        <f t="shared" si="1"/>
        <v>FTE-COMELC</v>
      </c>
      <c r="M21" s="127" t="str">
        <f t="shared" si="2"/>
        <v>Sector Fuel Technology Existing Commercial Electricity</v>
      </c>
      <c r="N21" s="126" t="str">
        <f t="shared" si="3"/>
        <v>PJ</v>
      </c>
      <c r="O21" s="126" t="str">
        <f t="shared" si="4"/>
        <v>PJa</v>
      </c>
      <c r="P21" s="126" t="s">
        <v>124</v>
      </c>
      <c r="Q21" s="126"/>
      <c r="R21" s="126"/>
    </row>
    <row r="22" spans="2:18" x14ac:dyDescent="0.25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5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5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5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5">
      <c r="E27" s="11"/>
      <c r="F27" s="11"/>
      <c r="G27" s="66"/>
      <c r="H27" s="10"/>
      <c r="J27" s="23"/>
      <c r="K27" s="23"/>
      <c r="M27" s="19"/>
    </row>
    <row r="28" spans="2:18" x14ac:dyDescent="0.25">
      <c r="E28" s="11"/>
      <c r="F28" s="11"/>
      <c r="G28" s="66"/>
      <c r="H28" s="10"/>
      <c r="M28" s="19"/>
    </row>
    <row r="29" spans="2:18" x14ac:dyDescent="0.25"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11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41" spans="2:8" x14ac:dyDescent="0.25">
      <c r="B41" s="39"/>
      <c r="C41" s="1" t="s">
        <v>149</v>
      </c>
    </row>
    <row r="42" spans="2:8" x14ac:dyDescent="0.25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zoomScale="130" zoomScaleNormal="130" workbookViewId="0">
      <selection activeCell="K13" sqref="K13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2.2" thickBot="1" x14ac:dyDescent="0.35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6" x14ac:dyDescent="0.3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LEFT($M$5,1)&amp;LEFT($B$2,1)&amp;'EB1'!$C$24</f>
        <v>DCSC</v>
      </c>
      <c r="P5" s="122" t="str">
        <f>LEFT($D$2,6)&amp;" "&amp;$C$2&amp; " Sector - "&amp;'EB1'!$X$24</f>
        <v>Demand Commercial Sector - Space Cooling</v>
      </c>
      <c r="Q5" s="122" t="str">
        <f>$E$2</f>
        <v>PJ</v>
      </c>
      <c r="R5" s="122"/>
      <c r="S5" s="122"/>
      <c r="T5" s="122"/>
      <c r="U5" s="122"/>
    </row>
    <row r="6" spans="2:21" ht="15.6" x14ac:dyDescent="0.3">
      <c r="B6" s="8"/>
      <c r="C6" s="8"/>
      <c r="D6" s="8"/>
      <c r="E6" s="8"/>
      <c r="F6" s="8"/>
      <c r="M6" s="122"/>
      <c r="N6" s="126"/>
      <c r="O6" s="122" t="str">
        <f>LEFT($M$5,1)&amp;LEFT($B$2,1)&amp;'EB1'!$C$25</f>
        <v>DCAP</v>
      </c>
      <c r="P6" s="122" t="str">
        <f>LEFT($D$2,6)&amp;" "&amp;$C$2&amp; " Sector - "&amp;'EB1'!$X$25</f>
        <v>Demand Commercial Sector - Appliancens</v>
      </c>
      <c r="Q6" s="122" t="str">
        <f>$E$2</f>
        <v>PJ</v>
      </c>
      <c r="R6" s="122"/>
      <c r="S6" s="122"/>
      <c r="T6" s="122"/>
      <c r="U6" s="122"/>
    </row>
    <row r="7" spans="2:21" ht="15.6" x14ac:dyDescent="0.3">
      <c r="B7" s="8"/>
      <c r="C7" s="8"/>
      <c r="D7" s="8"/>
      <c r="E7" s="8"/>
      <c r="F7" s="8"/>
      <c r="M7" s="122"/>
      <c r="N7" s="126"/>
      <c r="O7" s="122" t="str">
        <f>LEFT($M$5,1)&amp;LEFT($B$2,1)&amp;'EB1'!$C$26</f>
        <v>DCOT</v>
      </c>
      <c r="P7" s="122" t="str">
        <f>LEFT($D$2,6)&amp;" "&amp;$C$2&amp; " Sector - "&amp;'EB1'!$X$26</f>
        <v>Demand Commercial Sector - Other</v>
      </c>
      <c r="Q7" s="122" t="str">
        <f>$E$2</f>
        <v>PJ</v>
      </c>
      <c r="R7" s="122"/>
      <c r="S7" s="122"/>
      <c r="T7" s="122"/>
      <c r="U7" s="122"/>
    </row>
    <row r="8" spans="2:21" x14ac:dyDescent="0.25">
      <c r="M8" s="126" t="s">
        <v>106</v>
      </c>
      <c r="N8" s="126"/>
      <c r="O8" s="126" t="str">
        <f>$B$2&amp;'EB1'!$C$29</f>
        <v>COMCO2</v>
      </c>
      <c r="P8" s="126" t="str">
        <f>$C$2&amp;" "&amp;'EB1'!$C$30</f>
        <v>Commercial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5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5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'EB1'!$R$6*'EB1'!$R$24/(G14*H14)*1.01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47">
        <f>E14*G14*H14</f>
        <v>0</v>
      </c>
      <c r="M14" s="122" t="s">
        <v>95</v>
      </c>
      <c r="N14" s="126"/>
      <c r="O14" s="126" t="str">
        <f>LEFT($B$2)&amp;'EB1'!$C$21&amp;$I$2&amp;'EB1'!$R$2</f>
        <v>CSCESOL</v>
      </c>
      <c r="P14" s="126" t="str">
        <f>$D$2&amp;" "&amp;$C$2&amp; " Sector - "&amp;""&amp;$I$1&amp;" "&amp;'EB1'!$X$21&amp;" - "&amp;'EB1'!$R$3</f>
        <v>Demand Technologies Commercial Sector - Existing Space Cooling - Solar energy</v>
      </c>
      <c r="Q14" s="126" t="str">
        <f t="shared" ref="Q14:Q18" si="1">$E$2</f>
        <v>PJ</v>
      </c>
      <c r="R14" s="126" t="s">
        <v>119</v>
      </c>
      <c r="S14" s="155"/>
      <c r="T14" s="126"/>
      <c r="U14" s="126"/>
    </row>
    <row r="15" spans="2:21" x14ac:dyDescent="0.25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'EB1'!$U$6*'EB1'!$U$24/(G15*H15)*1.01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48">
        <f>E15*G15*H15</f>
        <v>6.6512296105200015</v>
      </c>
      <c r="M15" s="122" t="s">
        <v>95</v>
      </c>
      <c r="N15" s="126"/>
      <c r="O15" s="126" t="str">
        <f>LEFT($B$2)&amp;'EB1'!$C$21&amp;$I$2&amp;'EB1'!$U$2</f>
        <v>CSCEELC</v>
      </c>
      <c r="P15" s="126" t="str">
        <f>$D$2&amp;" "&amp;$C$2&amp; " Sector - "&amp;""&amp;$I$1&amp;" "&amp;'EB1'!$X$21&amp;" - "&amp;'EB1'!$U$3</f>
        <v>Demand Technologies Commercial Sector - Existing Space Cooling - Electricity</v>
      </c>
      <c r="Q15" s="126" t="str">
        <f t="shared" si="1"/>
        <v>PJ</v>
      </c>
      <c r="R15" s="126" t="s">
        <v>119</v>
      </c>
      <c r="S15" s="126"/>
      <c r="T15" s="126"/>
      <c r="U15" s="126"/>
    </row>
    <row r="16" spans="2:21" x14ac:dyDescent="0.25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'EB1'!$U$6*'EB1'!$U$25/(G16*H16)*1.01</f>
        <v>10.077620622000001</v>
      </c>
      <c r="F16" s="107">
        <v>1</v>
      </c>
      <c r="G16" s="107">
        <v>0.3</v>
      </c>
      <c r="H16" s="119">
        <v>1</v>
      </c>
      <c r="I16" s="108">
        <v>5</v>
      </c>
      <c r="J16" s="105"/>
      <c r="K16" s="149">
        <f t="shared" ref="K16:K18" si="4">E16*G16*H16</f>
        <v>3.0232861866000005</v>
      </c>
      <c r="M16" s="122" t="s">
        <v>95</v>
      </c>
      <c r="N16" s="129"/>
      <c r="O16" s="129" t="str">
        <f>LEFT($B$2)&amp;'EB1'!$C$22&amp;$I$2&amp;'EB1'!$U$2</f>
        <v>CAPEELC</v>
      </c>
      <c r="P16" s="129" t="str">
        <f>$D$2&amp;" "&amp;$C$2&amp; " Sector - "&amp;""&amp;$I$1&amp;" "&amp;'EB1'!$X$22&amp;" - "&amp;'EB1'!$U$3</f>
        <v>Demand Technologies Commercial Sector - Existing Appliancens - Electricity</v>
      </c>
      <c r="Q16" s="129" t="str">
        <f t="shared" si="1"/>
        <v>PJ</v>
      </c>
      <c r="R16" s="129" t="str">
        <f t="shared" ref="R16:R18" si="5">$E$2&amp;"a"</f>
        <v>PJa</v>
      </c>
      <c r="S16" s="129"/>
      <c r="T16" s="129"/>
      <c r="U16" s="129"/>
    </row>
    <row r="17" spans="2:21" x14ac:dyDescent="0.25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SUM('EB1'!$G$6:$J$6,'EB1'!$L$6:$M$6)*'EB1'!$I$26/(G17*H17)*1.01</f>
        <v>18.1105393104</v>
      </c>
      <c r="F17" s="64">
        <v>1</v>
      </c>
      <c r="G17" s="64">
        <v>0.3</v>
      </c>
      <c r="H17" s="120">
        <v>1</v>
      </c>
      <c r="I17" s="39">
        <v>10</v>
      </c>
      <c r="K17" s="147">
        <f t="shared" si="4"/>
        <v>5.43316179312</v>
      </c>
      <c r="M17" s="122" t="s">
        <v>95</v>
      </c>
      <c r="N17" s="126"/>
      <c r="O17" s="126" t="str">
        <f>LEFT($B$2)&amp;'EB1'!$C$23&amp;$I$2&amp;'EB1'!$F$2</f>
        <v>COTEOIL</v>
      </c>
      <c r="P17" s="126" t="str">
        <f>$D$2&amp;" "&amp;$C$2&amp; " Sector - "&amp;""&amp;$I$1&amp;" "&amp;'EB1'!$X$23&amp;" - "&amp;RIGHT('EB1'!$F$3,3)</f>
        <v>Demand Technologies Commercial Sector - Existing Other - Oil</v>
      </c>
      <c r="Q17" s="126" t="str">
        <f t="shared" si="1"/>
        <v>PJ</v>
      </c>
      <c r="R17" s="126" t="str">
        <f t="shared" si="5"/>
        <v>PJa</v>
      </c>
      <c r="S17" s="126"/>
      <c r="T17" s="126"/>
      <c r="U17" s="126"/>
    </row>
    <row r="18" spans="2:21" x14ac:dyDescent="0.25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'EB1'!$U$6*'EB1'!$U$26/(G18*H18)*1.01</f>
        <v>8.0620964975999989</v>
      </c>
      <c r="F18" s="64">
        <v>1</v>
      </c>
      <c r="G18" s="64">
        <v>0.3</v>
      </c>
      <c r="H18" s="120">
        <v>1</v>
      </c>
      <c r="I18" s="39">
        <v>10</v>
      </c>
      <c r="K18" s="147">
        <f t="shared" si="4"/>
        <v>2.4186289492799995</v>
      </c>
      <c r="M18" s="122" t="s">
        <v>95</v>
      </c>
      <c r="N18" s="126"/>
      <c r="O18" s="126" t="str">
        <f>LEFT($B$2)&amp;'EB1'!$C$23&amp;$I$2&amp;'EB1'!$U$2</f>
        <v>COTEELC</v>
      </c>
      <c r="P18" s="126" t="str">
        <f>$D$2&amp;" "&amp;$C$2&amp; " Sector - "&amp;""&amp;$I$1&amp;" "&amp;'EB1'!$X$23&amp;" - "&amp;'EB1'!$U$3</f>
        <v>Demand Technologies Commercial Sector - Existing Other - Electricity</v>
      </c>
      <c r="Q18" s="126" t="str">
        <f t="shared" si="1"/>
        <v>PJ</v>
      </c>
      <c r="R18" s="126" t="str">
        <f t="shared" si="5"/>
        <v>PJa</v>
      </c>
      <c r="S18" s="126"/>
      <c r="T18" s="126"/>
      <c r="U18" s="126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5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2.2" thickBot="1" x14ac:dyDescent="0.35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5">
      <c r="E5" s="11"/>
      <c r="F5" s="11"/>
      <c r="G5" s="66"/>
      <c r="H5" s="10"/>
      <c r="J5" s="126" t="s">
        <v>72</v>
      </c>
      <c r="K5" s="126"/>
      <c r="L5" s="126" t="str">
        <f>$B$2&amp;'EB1'!$D$2</f>
        <v>RSDCOA</v>
      </c>
      <c r="M5" s="127" t="str">
        <f>$C$2&amp;" "&amp;'EB1'!$D$3</f>
        <v>Residential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5">
      <c r="E6" s="11"/>
      <c r="F6" s="11"/>
      <c r="G6" s="66"/>
      <c r="H6" s="10"/>
      <c r="J6" s="126"/>
      <c r="K6" s="126"/>
      <c r="L6" s="126" t="str">
        <f>$B$2&amp;'EB1'!$E$2</f>
        <v>RSDGAS</v>
      </c>
      <c r="M6" s="127" t="str">
        <f>$C$2&amp;" "&amp;'EB1'!$E$3</f>
        <v>Residential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5">
      <c r="E7" s="11"/>
      <c r="F7" s="11"/>
      <c r="G7" s="66"/>
      <c r="H7" s="10"/>
      <c r="J7" s="126"/>
      <c r="K7" s="126"/>
      <c r="L7" s="126" t="str">
        <f>$B$2&amp;'EB1'!$F$2</f>
        <v>RSDOIL</v>
      </c>
      <c r="M7" s="127" t="str">
        <f>$C$2&amp;" "&amp;RIGHT('EB1'!$F$3,3)</f>
        <v>Residential Oil</v>
      </c>
      <c r="N7" s="126" t="str">
        <f t="shared" si="0"/>
        <v>PJ</v>
      </c>
      <c r="O7" s="126"/>
      <c r="P7" s="126"/>
      <c r="Q7" s="126"/>
      <c r="R7" s="126"/>
    </row>
    <row r="8" spans="2:18" x14ac:dyDescent="0.25">
      <c r="E8" s="11"/>
      <c r="F8" s="11"/>
      <c r="G8" s="66"/>
      <c r="H8" s="10"/>
      <c r="J8" s="126"/>
      <c r="K8" s="126"/>
      <c r="L8" s="126" t="str">
        <f>$B$2&amp;'EB1'!$O$2</f>
        <v>RSDBIO</v>
      </c>
      <c r="M8" s="127" t="str">
        <f>$C$2&amp;" "&amp;'EB1'!$O$3</f>
        <v>Residential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5">
      <c r="E9" s="11"/>
      <c r="F9" s="11"/>
      <c r="G9" s="66"/>
      <c r="H9" s="10"/>
      <c r="J9" s="126"/>
      <c r="K9" s="126"/>
      <c r="L9" s="126" t="str">
        <f>$B$2&amp;'EB1'!$R$2</f>
        <v>RSDSOL</v>
      </c>
      <c r="M9" s="127" t="str">
        <f>$C$2&amp;" "&amp;'EB1'!$R$3</f>
        <v>Residential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5">
      <c r="E10" s="11"/>
      <c r="F10" s="11"/>
      <c r="G10" s="66"/>
      <c r="H10" s="10"/>
      <c r="J10" s="126"/>
      <c r="K10" s="126"/>
      <c r="L10" s="126" t="str">
        <f>$B$2&amp;'EB1'!$U$2</f>
        <v>RSDELC</v>
      </c>
      <c r="M10" s="127" t="str">
        <f>$C$2&amp;" "&amp;'EB1'!$R$3</f>
        <v>Residential Solar energy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5">
      <c r="E11" s="11"/>
      <c r="F11" s="11"/>
      <c r="G11" s="66"/>
      <c r="H11" s="10"/>
      <c r="M11" s="19"/>
    </row>
    <row r="12" spans="2:18" x14ac:dyDescent="0.25">
      <c r="L12" s="23"/>
      <c r="M12" s="24"/>
    </row>
    <row r="13" spans="2:18" x14ac:dyDescent="0.25">
      <c r="D13" s="4" t="s">
        <v>13</v>
      </c>
      <c r="E13" s="4"/>
      <c r="F13" s="4"/>
      <c r="J13" s="121" t="s">
        <v>15</v>
      </c>
      <c r="K13" s="121"/>
      <c r="L13" s="126"/>
      <c r="M13" s="126"/>
      <c r="N13" s="126"/>
      <c r="O13" s="126"/>
      <c r="P13" s="126"/>
      <c r="Q13" s="126"/>
      <c r="R13" s="126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3" t="s">
        <v>11</v>
      </c>
      <c r="K14" s="124" t="s">
        <v>30</v>
      </c>
      <c r="L14" s="123" t="s">
        <v>1</v>
      </c>
      <c r="M14" s="123" t="s">
        <v>2</v>
      </c>
      <c r="N14" s="123" t="s">
        <v>16</v>
      </c>
      <c r="O14" s="123" t="s">
        <v>17</v>
      </c>
      <c r="P14" s="123" t="s">
        <v>18</v>
      </c>
      <c r="Q14" s="123" t="s">
        <v>19</v>
      </c>
      <c r="R14" s="123" t="s">
        <v>20</v>
      </c>
    </row>
    <row r="15" spans="2:18" ht="21.6" thickBot="1" x14ac:dyDescent="0.3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5" t="s">
        <v>38</v>
      </c>
      <c r="K15" s="125" t="s">
        <v>31</v>
      </c>
      <c r="L15" s="125" t="s">
        <v>21</v>
      </c>
      <c r="M15" s="125" t="s">
        <v>22</v>
      </c>
      <c r="N15" s="125" t="s">
        <v>23</v>
      </c>
      <c r="O15" s="125" t="s">
        <v>24</v>
      </c>
      <c r="P15" s="125" t="s">
        <v>43</v>
      </c>
      <c r="Q15" s="125" t="s">
        <v>42</v>
      </c>
      <c r="R15" s="125" t="s">
        <v>25</v>
      </c>
    </row>
    <row r="16" spans="2:18" ht="13.8" thickBot="1" x14ac:dyDescent="0.3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5" t="s">
        <v>81</v>
      </c>
      <c r="K16" s="128"/>
      <c r="L16" s="128"/>
      <c r="M16" s="128"/>
      <c r="N16" s="128"/>
      <c r="O16" s="128"/>
      <c r="P16" s="128"/>
      <c r="Q16" s="128"/>
      <c r="R16" s="128"/>
    </row>
    <row r="17" spans="2:18" x14ac:dyDescent="0.25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2" t="s">
        <v>113</v>
      </c>
      <c r="K17" s="126"/>
      <c r="L17" s="126" t="str">
        <f t="shared" ref="L17:L22" si="1">"FT"&amp;$G$2&amp;"-"&amp;L5</f>
        <v>FTE-RSDCOA</v>
      </c>
      <c r="M17" s="127" t="str">
        <f t="shared" ref="M17:M22" si="2">$D$2&amp;" Technology"&amp;" "&amp;$G$1&amp;" "&amp;M5</f>
        <v>Sector Fuel Technology Existing Residential Solid Fuels</v>
      </c>
      <c r="N17" s="126" t="str">
        <f t="shared" ref="N17:N22" si="3">$E$2</f>
        <v>PJ</v>
      </c>
      <c r="O17" s="126" t="str">
        <f t="shared" ref="O17:O22" si="4">$E$2&amp;"a"</f>
        <v>PJa</v>
      </c>
      <c r="P17" s="126"/>
      <c r="Q17" s="126"/>
      <c r="R17" s="126"/>
    </row>
    <row r="18" spans="2:18" x14ac:dyDescent="0.25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6"/>
      <c r="K18" s="126"/>
      <c r="L18" s="126" t="str">
        <f t="shared" si="1"/>
        <v>FTE-RSDGAS</v>
      </c>
      <c r="M18" s="127" t="str">
        <f t="shared" si="2"/>
        <v>Sector Fuel Technology Existing Residential Natural Gas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5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6"/>
      <c r="K19" s="126"/>
      <c r="L19" s="126" t="str">
        <f t="shared" si="1"/>
        <v>FTE-RSDOIL</v>
      </c>
      <c r="M19" s="127" t="str">
        <f t="shared" si="2"/>
        <v>Sector Fuel Technology Existing Residential Oil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5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6"/>
      <c r="K20" s="126"/>
      <c r="L20" s="126" t="str">
        <f t="shared" si="1"/>
        <v>FTE-RSDBIO</v>
      </c>
      <c r="M20" s="127" t="str">
        <f t="shared" si="2"/>
        <v>Sector Fuel Technology Existing Residential Biomass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5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6"/>
      <c r="K21" s="126"/>
      <c r="L21" s="126" t="str">
        <f t="shared" si="1"/>
        <v>FTE-RSDSOL</v>
      </c>
      <c r="M21" s="127" t="str">
        <f t="shared" si="2"/>
        <v>Sector Fuel Technology Existing Residential Solar energy</v>
      </c>
      <c r="N21" s="126" t="str">
        <f t="shared" si="3"/>
        <v>PJ</v>
      </c>
      <c r="O21" s="126" t="str">
        <f t="shared" si="4"/>
        <v>PJa</v>
      </c>
      <c r="P21" s="126"/>
      <c r="Q21" s="126"/>
      <c r="R21" s="126"/>
    </row>
    <row r="22" spans="2:18" x14ac:dyDescent="0.25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6"/>
      <c r="K22" s="126"/>
      <c r="L22" s="126" t="str">
        <f t="shared" si="1"/>
        <v>FTE-RSDELC</v>
      </c>
      <c r="M22" s="127" t="str">
        <f t="shared" si="2"/>
        <v>Sector Fuel Technology Existing Residential Solar energy</v>
      </c>
      <c r="N22" s="126" t="str">
        <f t="shared" si="3"/>
        <v>PJ</v>
      </c>
      <c r="O22" s="126" t="str">
        <f t="shared" si="4"/>
        <v>PJa</v>
      </c>
      <c r="P22" s="126" t="s">
        <v>124</v>
      </c>
      <c r="Q22" s="126"/>
      <c r="R22" s="126"/>
    </row>
    <row r="23" spans="2:18" x14ac:dyDescent="0.25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5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5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5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5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5">
      <c r="E28" s="11"/>
      <c r="F28" s="11"/>
      <c r="G28" s="66"/>
      <c r="H28" s="10"/>
      <c r="J28" s="23"/>
      <c r="K28" s="23"/>
      <c r="M28" s="19"/>
    </row>
    <row r="29" spans="2:18" x14ac:dyDescent="0.25">
      <c r="E29" s="11"/>
      <c r="F29" s="11"/>
      <c r="G29" s="66"/>
      <c r="H29" s="10"/>
      <c r="M29" s="19"/>
    </row>
    <row r="30" spans="2:18" x14ac:dyDescent="0.25">
      <c r="E30" s="11"/>
      <c r="F30" s="11"/>
      <c r="G30" s="66"/>
      <c r="H30" s="10"/>
    </row>
    <row r="31" spans="2:18" x14ac:dyDescent="0.25">
      <c r="B31" s="39"/>
      <c r="C31" s="1" t="s">
        <v>149</v>
      </c>
      <c r="D31" s="23"/>
      <c r="E31" s="11"/>
      <c r="F31" s="11"/>
      <c r="G31" s="66"/>
      <c r="H31" s="10"/>
    </row>
    <row r="32" spans="2:18" x14ac:dyDescent="0.25">
      <c r="B32" s="61"/>
      <c r="C32" s="1" t="s">
        <v>150</v>
      </c>
      <c r="D32" s="23"/>
      <c r="E32" s="11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95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38" spans="2:8" x14ac:dyDescent="0.25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5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2.2" thickBot="1" x14ac:dyDescent="0.35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6" x14ac:dyDescent="0.3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LEFT($M$5,1)&amp;LEFT($B$2,1)&amp;'EB1'!$C$21</f>
        <v>DRSC</v>
      </c>
      <c r="P5" s="122" t="str">
        <f>LEFT($D$2,6)&amp;" "&amp;$C$2&amp; " Sector - "&amp;'EB1'!$X$21</f>
        <v>Demand Residential Sector - Space Cooling</v>
      </c>
      <c r="Q5" s="122" t="str">
        <f>$E$2</f>
        <v>PJ</v>
      </c>
      <c r="R5" s="122"/>
      <c r="S5" s="122"/>
      <c r="T5" s="122"/>
      <c r="U5" s="122"/>
    </row>
    <row r="6" spans="2:21" ht="15.6" x14ac:dyDescent="0.3">
      <c r="B6" s="8"/>
      <c r="C6" s="8"/>
      <c r="D6" s="8"/>
      <c r="E6" s="8"/>
      <c r="F6" s="8"/>
      <c r="M6" s="122"/>
      <c r="N6" s="126"/>
      <c r="O6" s="122" t="str">
        <f>LEFT($M$5,1)&amp;LEFT($B$2,1)&amp;'EB1'!$C$22</f>
        <v>DRAP</v>
      </c>
      <c r="P6" s="122" t="str">
        <f>LEFT($D$2,6)&amp;" "&amp;$C$2&amp; " Sector - "&amp;'EB1'!$X$22</f>
        <v>Demand Residential Sector - Appliancens</v>
      </c>
      <c r="Q6" s="122" t="str">
        <f>$E$2</f>
        <v>PJ</v>
      </c>
      <c r="R6" s="122"/>
      <c r="S6" s="122"/>
      <c r="T6" s="122"/>
      <c r="U6" s="122"/>
    </row>
    <row r="7" spans="2:21" ht="15.6" x14ac:dyDescent="0.3">
      <c r="B7" s="8"/>
      <c r="C7" s="8"/>
      <c r="D7" s="8"/>
      <c r="E7" s="8"/>
      <c r="F7" s="8"/>
      <c r="M7" s="122"/>
      <c r="N7" s="126"/>
      <c r="O7" s="122" t="str">
        <f>LEFT($M$5,1)&amp;LEFT($B$2,1)&amp;'EB1'!$C$23</f>
        <v>DROT</v>
      </c>
      <c r="P7" s="122" t="str">
        <f>LEFT($D$2,6)&amp;" "&amp;$C$2&amp; " Sector - "&amp;'EB1'!$X$23</f>
        <v>Demand Residential Sector - Other</v>
      </c>
      <c r="Q7" s="122" t="str">
        <f>$E$2</f>
        <v>PJ</v>
      </c>
      <c r="R7" s="122"/>
      <c r="S7" s="122"/>
      <c r="T7" s="122"/>
      <c r="U7" s="122"/>
    </row>
    <row r="8" spans="2:21" x14ac:dyDescent="0.25">
      <c r="M8" s="126" t="s">
        <v>106</v>
      </c>
      <c r="N8" s="126"/>
      <c r="O8" s="126" t="str">
        <f>$B$2&amp;'EB1'!$C$29</f>
        <v>RSDCO2</v>
      </c>
      <c r="P8" s="126" t="str">
        <f>$C$2&amp;" "&amp;'EB1'!C30</f>
        <v>Residential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5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5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'EB1'!$U$5*'EB1'!$U$21/(G14*H14)*1.01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48">
        <f t="shared" ref="K14:K16" si="3">E14*G14*H14</f>
        <v>6.1537268203200002</v>
      </c>
      <c r="M14" s="122" t="s">
        <v>95</v>
      </c>
      <c r="N14" s="126"/>
      <c r="O14" s="126" t="str">
        <f>LEFT($B$2)&amp;'EB1'!$C$21&amp;$I$2&amp;'EB1'!$U$2</f>
        <v>RSCEELC</v>
      </c>
      <c r="P14" s="126" t="str">
        <f>$D$2&amp;" "&amp;$C$2&amp; " Sector - "&amp;""&amp;$I$1&amp;" "&amp;'EB1'!$X$21&amp;" - "&amp;'EB1'!$U$3</f>
        <v>Demand Technologies Residential Sector - Existing Space Cooling - Electricity</v>
      </c>
      <c r="Q14" s="126" t="str">
        <f t="shared" ref="Q14:Q18" si="4">$E$2</f>
        <v>PJ</v>
      </c>
      <c r="R14" s="126" t="s">
        <v>119</v>
      </c>
      <c r="S14" s="126"/>
      <c r="T14" s="126"/>
      <c r="U14" s="126"/>
    </row>
    <row r="15" spans="2:21" x14ac:dyDescent="0.25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'EB1'!$U$5*'EB1'!$U$22/(G15*H15)*1.01</f>
        <v>17.948369892599999</v>
      </c>
      <c r="F15" s="107">
        <v>1</v>
      </c>
      <c r="G15" s="107">
        <v>0.3</v>
      </c>
      <c r="H15" s="119">
        <v>1</v>
      </c>
      <c r="I15" s="108">
        <v>5</v>
      </c>
      <c r="K15" s="149">
        <f t="shared" si="3"/>
        <v>5.3845109677799998</v>
      </c>
      <c r="M15" s="122" t="s">
        <v>95</v>
      </c>
      <c r="N15" s="129"/>
      <c r="O15" s="129" t="str">
        <f>LEFT($B$2)&amp;'EB1'!$C$22&amp;$I$2&amp;'EB1'!$U$2</f>
        <v>RAPEELC</v>
      </c>
      <c r="P15" s="129" t="str">
        <f>$D$2&amp;" "&amp;$C$2&amp; " Sector - "&amp;""&amp;$I$1&amp;" "&amp;'EB1'!$X$22&amp;" - "&amp;'EB1'!$U$3</f>
        <v>Demand Technologies Residential Sector - Existing Appliancens - Electricity</v>
      </c>
      <c r="Q15" s="129" t="str">
        <f t="shared" si="4"/>
        <v>PJ</v>
      </c>
      <c r="R15" s="129" t="str">
        <f t="shared" ref="R15:R18" si="5">$E$2&amp;"a"</f>
        <v>PJa</v>
      </c>
      <c r="S15" s="129"/>
      <c r="T15" s="129"/>
      <c r="U15" s="129"/>
    </row>
    <row r="16" spans="2:21" x14ac:dyDescent="0.25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SUM('EB1'!$G$5:$J$5,'EB1'!$L$5:$M$5)*'EB1'!$I$23/(G16*H16)*1.01</f>
        <v>29.554160652000004</v>
      </c>
      <c r="F16" s="64">
        <v>1</v>
      </c>
      <c r="G16" s="64">
        <v>0.3</v>
      </c>
      <c r="H16" s="120">
        <v>1</v>
      </c>
      <c r="I16" s="39">
        <v>10</v>
      </c>
      <c r="K16" s="147">
        <f t="shared" si="3"/>
        <v>8.8662481956000008</v>
      </c>
      <c r="M16" s="122" t="s">
        <v>95</v>
      </c>
      <c r="N16" s="126"/>
      <c r="O16" s="126" t="str">
        <f>LEFT($B$2)&amp;'EB1'!$C$23&amp;$I$2&amp;'EB1'!$F$2</f>
        <v>ROTEOIL</v>
      </c>
      <c r="P16" s="126" t="str">
        <f>$D$2&amp;" "&amp;$C$2&amp; " Sector - "&amp;""&amp;$I$1&amp;" "&amp;'EB1'!$X$23&amp;" - "&amp;RIGHT('EB1'!$F$3,3)</f>
        <v>Demand Technologies Residential Sector - Existing Other - Oil</v>
      </c>
      <c r="Q16" s="126" t="str">
        <f t="shared" si="4"/>
        <v>PJ</v>
      </c>
      <c r="R16" s="126" t="str">
        <f t="shared" si="5"/>
        <v>PJa</v>
      </c>
      <c r="S16" s="126"/>
      <c r="T16" s="126"/>
      <c r="U16" s="126"/>
    </row>
    <row r="17" spans="2:21" x14ac:dyDescent="0.25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'EB1'!$O$5*'EB1'!$O$23/(G17*H17)*1.01</f>
        <v>99.673933428000012</v>
      </c>
      <c r="F17" s="64">
        <v>1</v>
      </c>
      <c r="G17" s="64">
        <v>0.3</v>
      </c>
      <c r="H17" s="120">
        <v>1</v>
      </c>
      <c r="I17" s="39">
        <v>10</v>
      </c>
      <c r="K17" s="147">
        <f>E17*G17*H17</f>
        <v>29.902180028400004</v>
      </c>
      <c r="M17" s="122" t="s">
        <v>95</v>
      </c>
      <c r="N17" s="126"/>
      <c r="O17" s="126" t="str">
        <f>LEFT($B$2)&amp;'EB1'!$C$23&amp;$I$2&amp;'EB1'!$O$2</f>
        <v>ROTEBIO</v>
      </c>
      <c r="P17" s="126" t="str">
        <f>$D$2&amp;" "&amp;$C$2&amp; " Sector - "&amp;""&amp;$I$1&amp;" "&amp;'EB1'!$X$23&amp;" - "&amp;'EB1'!$O$3</f>
        <v>Demand Technologies Residential Sector - Existing Other - Biomass</v>
      </c>
      <c r="Q17" s="126" t="str">
        <f t="shared" si="4"/>
        <v>PJ</v>
      </c>
      <c r="R17" s="126" t="str">
        <f t="shared" si="5"/>
        <v>PJa</v>
      </c>
      <c r="S17" s="126"/>
      <c r="T17" s="126"/>
      <c r="U17" s="126"/>
    </row>
    <row r="18" spans="2:21" x14ac:dyDescent="0.25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'EB1'!$U$5*'EB1'!$U$23/(G18*H18)*1.01</f>
        <v>12.820264209000001</v>
      </c>
      <c r="F18" s="64">
        <v>1</v>
      </c>
      <c r="G18" s="64">
        <v>0.3</v>
      </c>
      <c r="H18" s="120">
        <v>1</v>
      </c>
      <c r="I18" s="39">
        <v>10</v>
      </c>
      <c r="K18" s="147">
        <f>E18*G18*H18</f>
        <v>3.8460792627</v>
      </c>
      <c r="M18" s="122" t="s">
        <v>95</v>
      </c>
      <c r="N18" s="126"/>
      <c r="O18" s="126" t="str">
        <f>LEFT($B$2)&amp;'EB1'!$C$23&amp;$I$2&amp;'EB1'!$U$2</f>
        <v>ROTEELC</v>
      </c>
      <c r="P18" s="126" t="str">
        <f>$D$2&amp;" "&amp;$C$2&amp; " Sector - "&amp;""&amp;$I$1&amp;" "&amp;'EB1'!$X$23&amp;" - "&amp;'EB1'!$U$3</f>
        <v>Demand Technologies Residential Sector - Existing Other - Electricity</v>
      </c>
      <c r="Q18" s="126" t="str">
        <f t="shared" si="4"/>
        <v>PJ</v>
      </c>
      <c r="R18" s="126" t="str">
        <f t="shared" si="5"/>
        <v>PJa</v>
      </c>
      <c r="S18" s="126"/>
      <c r="T18" s="126"/>
      <c r="U18" s="126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24" spans="2:21" x14ac:dyDescent="0.25">
      <c r="G24" s="1"/>
    </row>
    <row r="25" spans="2:21" x14ac:dyDescent="0.25">
      <c r="G25" s="1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abSelected="1" topLeftCell="A2" workbookViewId="0">
      <selection activeCell="N23" sqref="N23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1.44140625" bestFit="1" customWidth="1"/>
    <col min="8" max="8" width="13.5546875" customWidth="1"/>
    <col min="9" max="9" width="10.33203125" customWidth="1"/>
  </cols>
  <sheetData>
    <row r="1" spans="2:11" ht="14.4" x14ac:dyDescent="0.3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6" x14ac:dyDescent="0.3">
      <c r="B2" s="9" t="s">
        <v>83</v>
      </c>
      <c r="C2" s="9"/>
      <c r="D2" s="9"/>
      <c r="E2" s="9" t="str">
        <f>'EB1'!Z2</f>
        <v>PJ</v>
      </c>
    </row>
    <row r="5" spans="2:11" x14ac:dyDescent="0.25">
      <c r="C5" s="3" t="s">
        <v>13</v>
      </c>
      <c r="D5" s="3"/>
      <c r="E5" s="1"/>
      <c r="I5" s="3" t="s">
        <v>13</v>
      </c>
      <c r="J5" s="1"/>
    </row>
    <row r="6" spans="2:11" x14ac:dyDescent="0.25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1" x14ac:dyDescent="0.25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8" thickBot="1" x14ac:dyDescent="0.3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5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7" t="s">
        <v>171</v>
      </c>
      <c r="J9" s="139">
        <v>0.15</v>
      </c>
    </row>
    <row r="10" spans="2:11" x14ac:dyDescent="0.25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7" t="s">
        <v>172</v>
      </c>
      <c r="J10" s="140">
        <v>0.45</v>
      </c>
    </row>
    <row r="11" spans="2:11" x14ac:dyDescent="0.25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7" t="s">
        <v>173</v>
      </c>
      <c r="J11" s="140">
        <v>0.1</v>
      </c>
    </row>
    <row r="12" spans="2:11" x14ac:dyDescent="0.25">
      <c r="B12" s="1" t="s">
        <v>35</v>
      </c>
      <c r="C12" s="142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38" t="s">
        <v>174</v>
      </c>
      <c r="J12" s="141">
        <v>0.3</v>
      </c>
    </row>
    <row r="13" spans="2:11" x14ac:dyDescent="0.25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7" t="s">
        <v>171</v>
      </c>
      <c r="J13" s="139">
        <v>0.2</v>
      </c>
    </row>
    <row r="14" spans="2:11" x14ac:dyDescent="0.25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7" t="s">
        <v>172</v>
      </c>
      <c r="J14" s="140">
        <v>0.35</v>
      </c>
    </row>
    <row r="15" spans="2:11" x14ac:dyDescent="0.25">
      <c r="B15" s="5" t="s">
        <v>35</v>
      </c>
      <c r="C15" s="167" t="s">
        <v>184</v>
      </c>
      <c r="D15" s="26" t="s">
        <v>76</v>
      </c>
      <c r="E15" s="114">
        <f>DemTechs_AGR!K14</f>
        <v>8.9932882680000006</v>
      </c>
      <c r="G15" s="1" t="s">
        <v>123</v>
      </c>
      <c r="H15" s="1" t="str">
        <f>DemTechs_RSD!$O$6</f>
        <v>DRAP</v>
      </c>
      <c r="I15" s="137" t="s">
        <v>173</v>
      </c>
      <c r="J15" s="140">
        <v>0.15</v>
      </c>
      <c r="K15" s="16"/>
    </row>
    <row r="16" spans="2:11" x14ac:dyDescent="0.25">
      <c r="B16" s="5"/>
      <c r="C16" s="26"/>
      <c r="D16" s="26"/>
      <c r="E16" s="114"/>
      <c r="G16" s="26" t="s">
        <v>123</v>
      </c>
      <c r="H16" s="26" t="str">
        <f>DemTechs_RSD!$O$6</f>
        <v>DRAP</v>
      </c>
      <c r="I16" s="138" t="s">
        <v>174</v>
      </c>
      <c r="J16" s="141">
        <v>0.3</v>
      </c>
    </row>
    <row r="17" spans="2:10" x14ac:dyDescent="0.25">
      <c r="B17" s="5"/>
      <c r="C17" s="26"/>
      <c r="D17" s="26"/>
      <c r="E17" s="107"/>
      <c r="G17" s="1" t="s">
        <v>123</v>
      </c>
      <c r="H17" s="1" t="str">
        <f>DemTechs_RSD!$O$7</f>
        <v>DROT</v>
      </c>
      <c r="I17" s="137" t="s">
        <v>171</v>
      </c>
      <c r="J17" s="139">
        <v>0.1</v>
      </c>
    </row>
    <row r="18" spans="2:10" x14ac:dyDescent="0.25">
      <c r="G18" s="1" t="s">
        <v>123</v>
      </c>
      <c r="H18" s="1" t="str">
        <f>DemTechs_RSD!$O$7</f>
        <v>DROT</v>
      </c>
      <c r="I18" s="137" t="s">
        <v>172</v>
      </c>
      <c r="J18" s="140">
        <v>0.45</v>
      </c>
    </row>
    <row r="19" spans="2:10" x14ac:dyDescent="0.25">
      <c r="G19" s="1" t="s">
        <v>123</v>
      </c>
      <c r="H19" s="1" t="str">
        <f>DemTechs_RSD!$O$7</f>
        <v>DROT</v>
      </c>
      <c r="I19" s="137" t="s">
        <v>173</v>
      </c>
      <c r="J19" s="140">
        <v>0.1</v>
      </c>
    </row>
    <row r="20" spans="2:10" x14ac:dyDescent="0.25">
      <c r="G20" s="26" t="s">
        <v>123</v>
      </c>
      <c r="H20" s="26" t="str">
        <f>DemTechs_RSD!$O$7</f>
        <v>DROT</v>
      </c>
      <c r="I20" s="138" t="s">
        <v>174</v>
      </c>
      <c r="J20" s="141">
        <v>0.35</v>
      </c>
    </row>
    <row r="21" spans="2:10" x14ac:dyDescent="0.25">
      <c r="G21" s="1" t="s">
        <v>123</v>
      </c>
      <c r="H21" s="1" t="str">
        <f>DemTechs_COM!$O$5</f>
        <v>DCSC</v>
      </c>
      <c r="I21" s="137" t="s">
        <v>171</v>
      </c>
      <c r="J21" s="139">
        <v>0.5</v>
      </c>
    </row>
    <row r="22" spans="2:10" x14ac:dyDescent="0.25">
      <c r="G22" s="1" t="s">
        <v>123</v>
      </c>
      <c r="H22" s="1" t="str">
        <f>DemTechs_COM!$O$5</f>
        <v>DCSC</v>
      </c>
      <c r="I22" s="137" t="s">
        <v>172</v>
      </c>
      <c r="J22" s="140">
        <v>0.1</v>
      </c>
    </row>
    <row r="23" spans="2:10" x14ac:dyDescent="0.25">
      <c r="G23" s="1" t="s">
        <v>123</v>
      </c>
      <c r="H23" s="1" t="str">
        <f>DemTechs_COM!$O$5</f>
        <v>DCSC</v>
      </c>
      <c r="I23" s="137" t="s">
        <v>173</v>
      </c>
      <c r="J23" s="140">
        <v>0.35</v>
      </c>
    </row>
    <row r="24" spans="2:10" x14ac:dyDescent="0.25">
      <c r="G24" s="26" t="s">
        <v>123</v>
      </c>
      <c r="H24" s="26" t="str">
        <f>DemTechs_COM!$O$5</f>
        <v>DCSC</v>
      </c>
      <c r="I24" s="138" t="s">
        <v>174</v>
      </c>
      <c r="J24" s="141">
        <v>0.05</v>
      </c>
    </row>
    <row r="25" spans="2:10" x14ac:dyDescent="0.25">
      <c r="G25" s="1" t="s">
        <v>123</v>
      </c>
      <c r="H25" s="1" t="str">
        <f>DemTechs_COM!$O$6</f>
        <v>DCAP</v>
      </c>
      <c r="I25" s="137" t="s">
        <v>171</v>
      </c>
      <c r="J25" s="139">
        <v>0.4</v>
      </c>
    </row>
    <row r="26" spans="2:10" x14ac:dyDescent="0.25">
      <c r="G26" s="1" t="s">
        <v>123</v>
      </c>
      <c r="H26" s="1" t="str">
        <f>DemTechs_COM!$O$6</f>
        <v>DCAP</v>
      </c>
      <c r="I26" s="137" t="s">
        <v>172</v>
      </c>
      <c r="J26" s="140">
        <v>0.1</v>
      </c>
    </row>
    <row r="27" spans="2:10" x14ac:dyDescent="0.25">
      <c r="G27" s="1" t="s">
        <v>123</v>
      </c>
      <c r="H27" s="1" t="str">
        <f>DemTechs_COM!$O$6</f>
        <v>DCAP</v>
      </c>
      <c r="I27" s="137" t="s">
        <v>173</v>
      </c>
      <c r="J27" s="140">
        <v>0.4</v>
      </c>
    </row>
    <row r="28" spans="2:10" x14ac:dyDescent="0.25">
      <c r="G28" s="26" t="s">
        <v>123</v>
      </c>
      <c r="H28" s="26" t="str">
        <f>DemTechs_COM!$O$6</f>
        <v>DCAP</v>
      </c>
      <c r="I28" s="138" t="s">
        <v>174</v>
      </c>
      <c r="J28" s="141">
        <v>0.1</v>
      </c>
    </row>
    <row r="29" spans="2:10" x14ac:dyDescent="0.25">
      <c r="G29" s="1" t="s">
        <v>123</v>
      </c>
      <c r="H29" s="1" t="str">
        <f>DemTechs_COM!$O$7</f>
        <v>DCOT</v>
      </c>
      <c r="I29" s="137" t="s">
        <v>171</v>
      </c>
      <c r="J29" s="139">
        <v>0.45</v>
      </c>
    </row>
    <row r="30" spans="2:10" x14ac:dyDescent="0.25">
      <c r="B30" s="39"/>
      <c r="C30" s="1" t="s">
        <v>149</v>
      </c>
      <c r="G30" s="1" t="s">
        <v>123</v>
      </c>
      <c r="H30" s="1" t="str">
        <f>DemTechs_COM!$O$7</f>
        <v>DCOT</v>
      </c>
      <c r="I30" s="137" t="s">
        <v>172</v>
      </c>
      <c r="J30" s="140">
        <v>0.05</v>
      </c>
    </row>
    <row r="31" spans="2:10" x14ac:dyDescent="0.25">
      <c r="B31" s="61"/>
      <c r="C31" s="1" t="s">
        <v>150</v>
      </c>
      <c r="G31" s="1" t="s">
        <v>123</v>
      </c>
      <c r="H31" s="1" t="str">
        <f>DemTechs_COM!$O$7</f>
        <v>DCOT</v>
      </c>
      <c r="I31" s="137" t="s">
        <v>173</v>
      </c>
      <c r="J31" s="140">
        <v>0.45</v>
      </c>
    </row>
    <row r="32" spans="2:10" x14ac:dyDescent="0.25">
      <c r="G32" s="26" t="s">
        <v>123</v>
      </c>
      <c r="H32" s="26" t="str">
        <f>DemTechs_COM!$O$7</f>
        <v>DCOT</v>
      </c>
      <c r="I32" s="138" t="s">
        <v>174</v>
      </c>
      <c r="J32" s="141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3.2" x14ac:dyDescent="0.25"/>
  <cols>
    <col min="2" max="2" width="14.44140625" customWidth="1"/>
    <col min="4" max="4" width="8.88671875" bestFit="1" customWidth="1"/>
    <col min="8" max="8" width="12.109375" bestFit="1" customWidth="1"/>
    <col min="9" max="10" width="9.33203125" bestFit="1" customWidth="1"/>
    <col min="11" max="11" width="8.44140625" bestFit="1" customWidth="1"/>
    <col min="12" max="12" width="8.44140625" customWidth="1"/>
    <col min="14" max="14" width="12.109375" bestFit="1" customWidth="1"/>
    <col min="15" max="16" width="9" bestFit="1" customWidth="1"/>
    <col min="17" max="17" width="8.109375" bestFit="1" customWidth="1"/>
  </cols>
  <sheetData>
    <row r="3" spans="2:18" ht="17.399999999999999" customHeight="1" x14ac:dyDescent="0.3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399999999999999" customHeight="1" x14ac:dyDescent="0.3">
      <c r="B4" s="30"/>
      <c r="C4" s="30"/>
      <c r="D4" s="30"/>
      <c r="E4" s="30"/>
      <c r="F4" s="30"/>
      <c r="G4" s="30"/>
      <c r="H4" s="30"/>
    </row>
    <row r="5" spans="2:18" x14ac:dyDescent="0.25">
      <c r="B5" s="28" t="s">
        <v>142</v>
      </c>
      <c r="H5" s="28" t="s">
        <v>142</v>
      </c>
      <c r="N5" s="28" t="s">
        <v>142</v>
      </c>
    </row>
    <row r="6" spans="2:18" ht="13.8" thickBot="1" x14ac:dyDescent="0.3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8" thickBot="1" x14ac:dyDescent="0.3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5">
      <c r="B8">
        <f>DemTechs_AGR!$Q8</f>
        <v>0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5">
      <c r="B23" s="39"/>
      <c r="C23" s="1" t="s">
        <v>149</v>
      </c>
    </row>
    <row r="24" spans="2:3" x14ac:dyDescent="0.25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2026-10-17T08:29:35Z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